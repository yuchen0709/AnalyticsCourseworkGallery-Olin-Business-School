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ahat\Box\TEACHING\DAT5567\DAT5567_FL2025\Module_2\Pre_Lab_2\M2_3. Solving Nonlinear Problems using Excel Solver\"/>
    </mc:Choice>
  </mc:AlternateContent>
  <xr:revisionPtr revIDLastSave="0" documentId="13_ncr:1_{BC22D5A4-C878-47FC-8214-6F202B53F245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Data" sheetId="4" r:id="rId1"/>
    <sheet name="Model A" sheetId="1" r:id="rId2"/>
    <sheet name="Model B" sheetId="2" r:id="rId3"/>
  </sheets>
  <definedNames>
    <definedName name="solver_cvg" localSheetId="1" hidden="1">0.0001</definedName>
    <definedName name="solver_cvg" localSheetId="2" hidden="1">0.0001</definedName>
    <definedName name="solver_drv" localSheetId="1" hidden="1">2</definedName>
    <definedName name="solver_drv" localSheetId="2" hidden="1">2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'Model A'!$C$19</definedName>
    <definedName name="solver_lhs1" localSheetId="2" hidden="1">'Model B'!$C$19</definedName>
    <definedName name="solver_lhs2" localSheetId="1" hidden="1">'Model A'!$C$20</definedName>
    <definedName name="solver_lhs2" localSheetId="2" hidden="1">'Model B'!$C$20</definedName>
    <definedName name="solver_lin" localSheetId="1" hidden="1">2</definedName>
    <definedName name="solver_lin" localSheetId="2" hidden="1">2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0" hidden="1">0</definedName>
    <definedName name="solver_num" localSheetId="1" hidden="1">0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0" hidden="1">Data!$D$8</definedName>
    <definedName name="solver_pre" localSheetId="1" hidden="1">0.000001</definedName>
    <definedName name="solver_pre" localSheetId="2" hidden="1">0.000001</definedName>
    <definedName name="solver_rbv" localSheetId="1" hidden="1">2</definedName>
    <definedName name="solver_rbv" localSheetId="2" hidden="1">2</definedName>
    <definedName name="solver_rel1" localSheetId="1" hidden="1">2</definedName>
    <definedName name="solver_rel1" localSheetId="2" hidden="1">2</definedName>
    <definedName name="solver_rel2" localSheetId="1" hidden="1">3</definedName>
    <definedName name="solver_rel2" localSheetId="2" hidden="1">1</definedName>
    <definedName name="solver_rhs1" localSheetId="1" hidden="1">'Model A'!$E$19</definedName>
    <definedName name="solver_rhs1" localSheetId="2" hidden="1">'Model B'!$E$19</definedName>
    <definedName name="solver_rhs2" localSheetId="1" hidden="1">'Model A'!$E$20</definedName>
    <definedName name="solver_rhs2" localSheetId="2" hidden="1">'Model B'!$E$20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2</definedName>
    <definedName name="solver_scl" localSheetId="2" hidden="1">2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D14" i="2"/>
  <c r="C14" i="2"/>
  <c r="E14" i="1"/>
  <c r="D14" i="1"/>
  <c r="C14" i="1"/>
  <c r="E20" i="2" l="1"/>
  <c r="E20" i="1"/>
  <c r="E9" i="2"/>
  <c r="D9" i="2"/>
  <c r="C9" i="2"/>
  <c r="E8" i="2"/>
  <c r="D8" i="2"/>
  <c r="C8" i="2"/>
  <c r="E7" i="2"/>
  <c r="D7" i="2"/>
  <c r="C7" i="2"/>
  <c r="E9" i="1"/>
  <c r="D9" i="1"/>
  <c r="C9" i="1"/>
  <c r="E8" i="1"/>
  <c r="D8" i="1"/>
  <c r="C8" i="1"/>
  <c r="E7" i="1"/>
  <c r="D7" i="1"/>
  <c r="C7" i="1"/>
  <c r="G15" i="4"/>
  <c r="F15" i="4"/>
  <c r="H13" i="4" s="1"/>
  <c r="F14" i="4"/>
  <c r="G13" i="4" s="1"/>
  <c r="H15" i="4"/>
  <c r="G14" i="4"/>
  <c r="F13" i="4"/>
  <c r="H14" i="4"/>
  <c r="G10" i="4"/>
  <c r="H9" i="4" s="1"/>
  <c r="F10" i="4"/>
  <c r="H8" i="4" s="1"/>
  <c r="F9" i="4"/>
  <c r="G8" i="4" s="1"/>
  <c r="H10" i="4"/>
  <c r="G9" i="4"/>
  <c r="F8" i="4"/>
  <c r="C19" i="2"/>
  <c r="C4" i="2"/>
  <c r="D4" i="2"/>
  <c r="D4" i="1"/>
  <c r="E4" i="2"/>
  <c r="C4" i="1"/>
  <c r="E4" i="1"/>
  <c r="C16" i="1" l="1"/>
  <c r="C20" i="2"/>
  <c r="C16" i="2"/>
  <c r="C20" i="1"/>
  <c r="C19" i="1"/>
</calcChain>
</file>

<file path=xl/sharedStrings.xml><?xml version="1.0" encoding="utf-8"?>
<sst xmlns="http://schemas.openxmlformats.org/spreadsheetml/2006/main" count="267" uniqueCount="36">
  <si>
    <t>DECISIONS VARIABLES</t>
  </si>
  <si>
    <t>maximize</t>
  </si>
  <si>
    <t>CONSTRAINTS</t>
  </si>
  <si>
    <t>LHS</t>
  </si>
  <si>
    <t>RHS</t>
  </si>
  <si>
    <t>(nonnegativity)</t>
  </si>
  <si>
    <t>AMZN</t>
  </si>
  <si>
    <t>HD</t>
  </si>
  <si>
    <t>WMT</t>
  </si>
  <si>
    <t>Covariance Matrix</t>
  </si>
  <si>
    <t>(budget / invest all)</t>
  </si>
  <si>
    <t>==</t>
  </si>
  <si>
    <t>(Portfolio risk)</t>
  </si>
  <si>
    <t>&lt;=</t>
  </si>
  <si>
    <t>minimize</t>
  </si>
  <si>
    <t>&gt;=</t>
  </si>
  <si>
    <t>date</t>
  </si>
  <si>
    <t>stock</t>
  </si>
  <si>
    <t>Column Labels</t>
  </si>
  <si>
    <t>Values</t>
  </si>
  <si>
    <t>Risk (std. dev. of return)</t>
  </si>
  <si>
    <t>Expected (or average) return</t>
  </si>
  <si>
    <t>monthly return [%]</t>
  </si>
  <si>
    <t>Covariance matrix</t>
  </si>
  <si>
    <t>Correlation matrix</t>
  </si>
  <si>
    <t>Expected monthly returns [%]</t>
  </si>
  <si>
    <t>Minimum expected return [%]</t>
  </si>
  <si>
    <t>Maximum allowable risk [%]</t>
  </si>
  <si>
    <t>DATA</t>
  </si>
  <si>
    <t>OBJECTIVE FUNCTION</t>
  </si>
  <si>
    <t>Portfolio Optimization Model A - Minimize risk subject to return constraint</t>
  </si>
  <si>
    <t>Portfolio Optimization Model B - Maximize return subject to risk constraint</t>
  </si>
  <si>
    <t>Portfolio weights</t>
  </si>
  <si>
    <t>Portfolio risk</t>
  </si>
  <si>
    <t>Portfolio expected return</t>
  </si>
  <si>
    <t>(Portfolio expected return)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</si>
</sst>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000"/>
  </numFmts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666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Symbol"/>
      <family val="1"/>
      <charset val="2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4" xfId="0" applyBorder="1"/>
    <xf numFmtId="164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164" fontId="0" fillId="0" borderId="8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9" xfId="0" applyFont="1" applyBorder="1"/>
    <xf numFmtId="0" fontId="5" fillId="0" borderId="0" xfId="0" applyFont="1"/>
    <xf numFmtId="4" fontId="0" fillId="0" borderId="0" xfId="0" applyNumberFormat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8" fillId="0" borderId="2" xfId="0" applyNumberFormat="1" applyFont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4" fontId="0" fillId="0" borderId="7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0" fillId="0" borderId="5" xfId="0" applyBorder="1"/>
    <xf numFmtId="164" fontId="0" fillId="0" borderId="7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/>
    <xf numFmtId="4" fontId="0" fillId="0" borderId="0" xfId="0" quotePrefix="1" applyNumberFormat="1" applyAlignment="1">
      <alignment horizontal="center"/>
    </xf>
    <xf numFmtId="165" fontId="7" fillId="0" borderId="0" xfId="1" applyNumberFormat="1" applyFont="1" applyFill="1" applyBorder="1" applyAlignment="1">
      <alignment horizontal="center"/>
    </xf>
    <xf numFmtId="0" fontId="1" fillId="0" borderId="0" xfId="2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2" applyAlignment="1">
      <alignment horizontal="center"/>
    </xf>
    <xf numFmtId="0" fontId="0" fillId="0" borderId="0" xfId="0" pivotButton="1" applyAlignment="1">
      <alignment horizontal="center"/>
    </xf>
    <xf numFmtId="2" fontId="0" fillId="0" borderId="0" xfId="0" applyNumberFormat="1" applyAlignment="1">
      <alignment horizontal="center"/>
    </xf>
    <xf numFmtId="14" fontId="1" fillId="0" borderId="0" xfId="2" applyNumberFormat="1" applyAlignment="1">
      <alignment horizontal="center"/>
    </xf>
    <xf numFmtId="2" fontId="1" fillId="0" borderId="0" xfId="2" applyNumberForma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2" fontId="0" fillId="0" borderId="7" xfId="1" applyNumberFormat="1" applyFont="1" applyFill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4" fontId="7" fillId="0" borderId="10" xfId="1" applyNumberFormat="1" applyFont="1" applyFill="1" applyBorder="1" applyAlignment="1">
      <alignment horizontal="center"/>
    </xf>
    <xf numFmtId="0" fontId="4" fillId="0" borderId="0" xfId="2" applyFont="1" applyAlignment="1">
      <alignment horizontal="center"/>
    </xf>
    <xf numFmtId="2" fontId="4" fillId="0" borderId="0" xfId="2" applyNumberFormat="1" applyFont="1" applyAlignment="1">
      <alignment horizontal="center"/>
    </xf>
  </cellXfs>
  <cellStyles count="3">
    <cellStyle name="Normal" xfId="0" builtinId="0"/>
    <cellStyle name="Normal 2" xfId="2" xr:uid="{05516745-C34D-414E-9C56-0763F998E731}"/>
    <cellStyle name="Percent" xfId="1" builtinId="5"/>
  </cellStyles>
  <dxfs count="4"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 Farahat" refreshedDate="45956.879234143518" createdVersion="8" refreshedVersion="8" minRefreshableVersion="3" recordCount="183" xr:uid="{1219CB50-33A7-470E-92AD-DAB780356306}">
  <cacheSource type="worksheet">
    <worksheetSource ref="A1:C184" sheet="Data"/>
  </cacheSource>
  <cacheFields count="3">
    <cacheField name="date" numFmtId="14">
      <sharedItems containsSemiMixedTypes="0" containsNonDate="0" containsDate="1" containsString="0" minDate="2014-07-01T00:00:00" maxDate="2019-07-02T00:00:00"/>
    </cacheField>
    <cacheField name="stock" numFmtId="0">
      <sharedItems count="3">
        <s v="AMZN"/>
        <s v="HD"/>
        <s v="WMT"/>
      </sharedItems>
    </cacheField>
    <cacheField name="return" numFmtId="0">
      <sharedItems containsSemiMixedTypes="0" containsString="0" containsNumber="1" minValue="-20.219170739999999" maxValue="24.06389654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d v="2014-07-01T00:00:00"/>
    <x v="0"/>
    <n v="8.3229559510000009"/>
  </r>
  <r>
    <d v="2014-08-01T00:00:00"/>
    <x v="0"/>
    <n v="-4.8961793770000002"/>
  </r>
  <r>
    <d v="2014-09-01T00:00:00"/>
    <x v="0"/>
    <n v="-5.2660993969999996"/>
  </r>
  <r>
    <d v="2014-10-01T00:00:00"/>
    <x v="0"/>
    <n v="10.862314209999999"/>
  </r>
  <r>
    <d v="2014-11-01T00:00:00"/>
    <x v="0"/>
    <n v="-8.3540065400000003"/>
  </r>
  <r>
    <d v="2014-12-01T00:00:00"/>
    <x v="0"/>
    <n v="14.235537989999999"/>
  </r>
  <r>
    <d v="2015-01-01T00:00:00"/>
    <x v="0"/>
    <n v="7.2292909129999998"/>
  </r>
  <r>
    <d v="2015-02-01T00:00:00"/>
    <x v="0"/>
    <n v="-2.1201593839999999"/>
  </r>
  <r>
    <d v="2015-03-01T00:00:00"/>
    <x v="0"/>
    <n v="13.35124757"/>
  </r>
  <r>
    <d v="2015-04-01T00:00:00"/>
    <x v="0"/>
    <n v="1.766326525"/>
  </r>
  <r>
    <d v="2015-05-01T00:00:00"/>
    <x v="0"/>
    <n v="1.13225657"/>
  </r>
  <r>
    <d v="2015-06-01T00:00:00"/>
    <x v="0"/>
    <n v="23.51126009"/>
  </r>
  <r>
    <d v="2015-07-01T00:00:00"/>
    <x v="0"/>
    <n v="-4.3383396359999997"/>
  </r>
  <r>
    <d v="2015-08-01T00:00:00"/>
    <x v="0"/>
    <n v="-0.19497357500000001"/>
  </r>
  <r>
    <d v="2015-09-01T00:00:00"/>
    <x v="0"/>
    <n v="22.27236431"/>
  </r>
  <r>
    <d v="2015-10-01T00:00:00"/>
    <x v="0"/>
    <n v="6.2150443370000001"/>
  </r>
  <r>
    <d v="2015-11-01T00:00:00"/>
    <x v="0"/>
    <n v="1.6681749699999999"/>
  </r>
  <r>
    <d v="2015-12-01T00:00:00"/>
    <x v="0"/>
    <n v="-13.15155026"/>
  </r>
  <r>
    <d v="2016-01-01T00:00:00"/>
    <x v="0"/>
    <n v="-5.8739318569999996"/>
  </r>
  <r>
    <d v="2016-02-01T00:00:00"/>
    <x v="0"/>
    <n v="7.442263359"/>
  </r>
  <r>
    <d v="2016-03-01T00:00:00"/>
    <x v="0"/>
    <n v="11.10942833"/>
  </r>
  <r>
    <d v="2016-04-01T00:00:00"/>
    <x v="0"/>
    <n v="9.5817020290000006"/>
  </r>
  <r>
    <d v="2016-05-01T00:00:00"/>
    <x v="0"/>
    <n v="-0.99198705300000001"/>
  </r>
  <r>
    <d v="2016-06-01T00:00:00"/>
    <x v="0"/>
    <n v="6.0353264720000004"/>
  </r>
  <r>
    <d v="2016-07-01T00:00:00"/>
    <x v="0"/>
    <n v="1.3639745160000001"/>
  </r>
  <r>
    <d v="2016-08-01T00:00:00"/>
    <x v="0"/>
    <n v="8.8603187099999996"/>
  </r>
  <r>
    <d v="2016-09-01T00:00:00"/>
    <x v="0"/>
    <n v="-5.671733422"/>
  </r>
  <r>
    <d v="2016-10-01T00:00:00"/>
    <x v="0"/>
    <n v="-4.9694866739999997"/>
  </r>
  <r>
    <d v="2016-11-01T00:00:00"/>
    <x v="0"/>
    <n v="2.4101637199999999"/>
  </r>
  <r>
    <d v="2016-12-01T00:00:00"/>
    <x v="0"/>
    <n v="7.1318930250000001"/>
  </r>
  <r>
    <d v="2017-01-01T00:00:00"/>
    <x v="0"/>
    <n v="2.6181569100000002"/>
  </r>
  <r>
    <d v="2017-02-01T00:00:00"/>
    <x v="0"/>
    <n v="4.9110102580000001"/>
  </r>
  <r>
    <d v="2017-03-01T00:00:00"/>
    <x v="0"/>
    <n v="4.33708721"/>
  </r>
  <r>
    <d v="2017-04-01T00:00:00"/>
    <x v="0"/>
    <n v="7.5276495690000003"/>
  </r>
  <r>
    <d v="2017-05-01T00:00:00"/>
    <x v="0"/>
    <n v="-2.6763985379999999"/>
  </r>
  <r>
    <d v="2017-06-01T00:00:00"/>
    <x v="0"/>
    <n v="2.0433914259999999"/>
  </r>
  <r>
    <d v="2017-07-01T00:00:00"/>
    <x v="0"/>
    <n v="-0.72688784799999995"/>
  </r>
  <r>
    <d v="2017-08-01T00:00:00"/>
    <x v="0"/>
    <n v="-1.9630838740000001"/>
  </r>
  <r>
    <d v="2017-09-01T00:00:00"/>
    <x v="0"/>
    <n v="14.971660330000001"/>
  </r>
  <r>
    <d v="2017-10-01T00:00:00"/>
    <x v="0"/>
    <n v="6.4662320070000003"/>
  </r>
  <r>
    <d v="2017-11-01T00:00:00"/>
    <x v="0"/>
    <n v="-0.61865553399999995"/>
  </r>
  <r>
    <d v="2017-12-01T00:00:00"/>
    <x v="0"/>
    <n v="24.063896549999999"/>
  </r>
  <r>
    <d v="2018-01-01T00:00:00"/>
    <x v="0"/>
    <n v="4.242908516"/>
  </r>
  <r>
    <d v="2018-02-01T00:00:00"/>
    <x v="0"/>
    <n v="-4.3049348480000003"/>
  </r>
  <r>
    <d v="2018-03-01T00:00:00"/>
    <x v="0"/>
    <n v="8.2074731429999996"/>
  </r>
  <r>
    <d v="2018-04-01T00:00:00"/>
    <x v="0"/>
    <n v="4.0539412309999996"/>
  </r>
  <r>
    <d v="2018-05-01T00:00:00"/>
    <x v="0"/>
    <n v="4.3065287750000003"/>
  </r>
  <r>
    <d v="2018-06-01T00:00:00"/>
    <x v="0"/>
    <n v="4.5675897020000003"/>
  </r>
  <r>
    <d v="2018-07-01T00:00:00"/>
    <x v="0"/>
    <n v="13.236453989999999"/>
  </r>
  <r>
    <d v="2018-08-01T00:00:00"/>
    <x v="0"/>
    <n v="-0.482432203"/>
  </r>
  <r>
    <d v="2018-09-01T00:00:00"/>
    <x v="0"/>
    <n v="-20.219170739999999"/>
  </r>
  <r>
    <d v="2018-10-01T00:00:00"/>
    <x v="0"/>
    <n v="5.7671750130000001"/>
  </r>
  <r>
    <d v="2018-11-01T00:00:00"/>
    <x v="0"/>
    <n v="-11.13497862"/>
  </r>
  <r>
    <d v="2018-12-01T00:00:00"/>
    <x v="0"/>
    <n v="14.431713889999999"/>
  </r>
  <r>
    <d v="2019-01-01T00:00:00"/>
    <x v="0"/>
    <n v="-4.5906003220000002"/>
  </r>
  <r>
    <d v="2019-02-01T00:00:00"/>
    <x v="0"/>
    <n v="8.593576638"/>
  </r>
  <r>
    <d v="2019-03-01T00:00:00"/>
    <x v="0"/>
    <n v="8.1858778599999997"/>
  </r>
  <r>
    <d v="2019-04-01T00:00:00"/>
    <x v="0"/>
    <n v="-7.8613288429999999"/>
  </r>
  <r>
    <d v="2019-05-01T00:00:00"/>
    <x v="0"/>
    <n v="6.6791767430000002"/>
  </r>
  <r>
    <d v="2019-06-01T00:00:00"/>
    <x v="0"/>
    <n v="-1.417910359"/>
  </r>
  <r>
    <d v="2019-07-01T00:00:00"/>
    <x v="0"/>
    <n v="-4.8473836549999998"/>
  </r>
  <r>
    <d v="2014-07-01T00:00:00"/>
    <x v="1"/>
    <n v="15.64624804"/>
  </r>
  <r>
    <d v="2014-08-01T00:00:00"/>
    <x v="1"/>
    <n v="-1.8823591980000001"/>
  </r>
  <r>
    <d v="2014-09-01T00:00:00"/>
    <x v="1"/>
    <n v="6.8374605329999998"/>
  </r>
  <r>
    <d v="2014-10-01T00:00:00"/>
    <x v="1"/>
    <n v="1.9278038740000001"/>
  </r>
  <r>
    <d v="2014-11-01T00:00:00"/>
    <x v="1"/>
    <n v="5.603649281"/>
  </r>
  <r>
    <d v="2014-12-01T00:00:00"/>
    <x v="1"/>
    <n v="-4.8876120000000002E-2"/>
  </r>
  <r>
    <d v="2015-01-01T00:00:00"/>
    <x v="1"/>
    <n v="9.8927411749999994"/>
  </r>
  <r>
    <d v="2015-02-01T00:00:00"/>
    <x v="1"/>
    <n v="-0.99347706199999997"/>
  </r>
  <r>
    <d v="2015-03-01T00:00:00"/>
    <x v="1"/>
    <n v="-5.3511989270000004"/>
  </r>
  <r>
    <d v="2015-04-01T00:00:00"/>
    <x v="1"/>
    <n v="4.1502934099999997"/>
  </r>
  <r>
    <d v="2015-05-01T00:00:00"/>
    <x v="1"/>
    <n v="-0.26026937"/>
  </r>
  <r>
    <d v="2015-06-01T00:00:00"/>
    <x v="1"/>
    <n v="5.8684473930000003"/>
  </r>
  <r>
    <d v="2015-07-01T00:00:00"/>
    <x v="1"/>
    <n v="-0.48705965600000001"/>
  </r>
  <r>
    <d v="2015-08-01T00:00:00"/>
    <x v="1"/>
    <n v="-0.832915607"/>
  </r>
  <r>
    <d v="2015-09-01T00:00:00"/>
    <x v="1"/>
    <n v="7.6020211619999998"/>
  </r>
  <r>
    <d v="2015-10-01T00:00:00"/>
    <x v="1"/>
    <n v="8.2821160759999994"/>
  </r>
  <r>
    <d v="2015-11-01T00:00:00"/>
    <x v="1"/>
    <n v="-1.2175103730000001"/>
  </r>
  <r>
    <d v="2015-12-01T00:00:00"/>
    <x v="1"/>
    <n v="-4.4864499310000001"/>
  </r>
  <r>
    <d v="2016-01-01T00:00:00"/>
    <x v="1"/>
    <n v="-1.3040722060000001"/>
  </r>
  <r>
    <d v="2016-02-01T00:00:00"/>
    <x v="1"/>
    <n v="7.5007988240000003"/>
  </r>
  <r>
    <d v="2016-03-01T00:00:00"/>
    <x v="1"/>
    <n v="0.89654332000000003"/>
  </r>
  <r>
    <d v="2016-04-01T00:00:00"/>
    <x v="1"/>
    <n v="-1.321997944"/>
  </r>
  <r>
    <d v="2016-05-01T00:00:00"/>
    <x v="1"/>
    <n v="-2.8525401810000002"/>
  </r>
  <r>
    <d v="2016-06-01T00:00:00"/>
    <x v="1"/>
    <n v="8.2622178030000004"/>
  </r>
  <r>
    <d v="2016-07-01T00:00:00"/>
    <x v="1"/>
    <n v="-2.9803443989999998"/>
  </r>
  <r>
    <d v="2016-08-01T00:00:00"/>
    <x v="1"/>
    <n v="-3.5640549639999999"/>
  </r>
  <r>
    <d v="2016-09-01T00:00:00"/>
    <x v="1"/>
    <n v="-5.183391877"/>
  </r>
  <r>
    <d v="2016-10-01T00:00:00"/>
    <x v="1"/>
    <n v="6.0568905480000002"/>
  </r>
  <r>
    <d v="2016-11-01T00:00:00"/>
    <x v="1"/>
    <n v="4.1668697440000004"/>
  </r>
  <r>
    <d v="2016-12-01T00:00:00"/>
    <x v="1"/>
    <n v="2.610374722"/>
  </r>
  <r>
    <d v="2017-01-01T00:00:00"/>
    <x v="1"/>
    <n v="5.3278051160000004"/>
  </r>
  <r>
    <d v="2017-02-01T00:00:00"/>
    <x v="1"/>
    <n v="1.3249602009999999"/>
  </r>
  <r>
    <d v="2017-03-01T00:00:00"/>
    <x v="1"/>
    <n v="6.9604237659999999"/>
  </r>
  <r>
    <d v="2017-04-01T00:00:00"/>
    <x v="1"/>
    <n v="-1.659175981"/>
  </r>
  <r>
    <d v="2017-05-01T00:00:00"/>
    <x v="1"/>
    <n v="0.50581380799999998"/>
  </r>
  <r>
    <d v="2017-06-01T00:00:00"/>
    <x v="1"/>
    <n v="-2.4771792590000001"/>
  </r>
  <r>
    <d v="2017-07-01T00:00:00"/>
    <x v="1"/>
    <n v="0.18048076699999999"/>
  </r>
  <r>
    <d v="2017-08-01T00:00:00"/>
    <x v="1"/>
    <n v="9.7799571380000003"/>
  </r>
  <r>
    <d v="2017-09-01T00:00:00"/>
    <x v="1"/>
    <n v="1.357302558"/>
  </r>
  <r>
    <d v="2017-10-01T00:00:00"/>
    <x v="1"/>
    <n v="8.4690506400000007"/>
  </r>
  <r>
    <d v="2017-11-01T00:00:00"/>
    <x v="1"/>
    <n v="5.9338092260000002"/>
  </r>
  <r>
    <d v="2017-12-01T00:00:00"/>
    <x v="1"/>
    <n v="5.9990405080000002"/>
  </r>
  <r>
    <d v="2018-01-01T00:00:00"/>
    <x v="1"/>
    <n v="-9.2732663629999994"/>
  </r>
  <r>
    <d v="2018-02-01T00:00:00"/>
    <x v="1"/>
    <n v="-2.2109992460000001"/>
  </r>
  <r>
    <d v="2018-03-01T00:00:00"/>
    <x v="1"/>
    <n v="4.2716949780000002"/>
  </r>
  <r>
    <d v="2018-04-01T00:00:00"/>
    <x v="1"/>
    <n v="0.94696286399999996"/>
  </r>
  <r>
    <d v="2018-05-01T00:00:00"/>
    <x v="1"/>
    <n v="5.1687679219999998"/>
  </r>
  <r>
    <d v="2018-06-01T00:00:00"/>
    <x v="1"/>
    <n v="1.240398568"/>
  </r>
  <r>
    <d v="2018-07-01T00:00:00"/>
    <x v="1"/>
    <n v="1.6453932449999999"/>
  </r>
  <r>
    <d v="2018-08-01T00:00:00"/>
    <x v="1"/>
    <n v="3.7066467510000001"/>
  </r>
  <r>
    <d v="2018-09-01T00:00:00"/>
    <x v="1"/>
    <n v="-15.095342499999999"/>
  </r>
  <r>
    <d v="2018-10-01T00:00:00"/>
    <x v="1"/>
    <n v="2.5244457929999999"/>
  </r>
  <r>
    <d v="2018-11-01T00:00:00"/>
    <x v="1"/>
    <n v="-4.1438526549999999"/>
  </r>
  <r>
    <d v="2018-12-01T00:00:00"/>
    <x v="1"/>
    <n v="6.8152623270000001"/>
  </r>
  <r>
    <d v="2019-01-01T00:00:00"/>
    <x v="1"/>
    <n v="0.87723786500000001"/>
  </r>
  <r>
    <d v="2019-02-01T00:00:00"/>
    <x v="1"/>
    <n v="3.6458965079999999"/>
  </r>
  <r>
    <d v="2019-03-01T00:00:00"/>
    <x v="1"/>
    <n v="6.9450292569999998"/>
  </r>
  <r>
    <d v="2019-04-01T00:00:00"/>
    <x v="1"/>
    <n v="-6.7992034449999998"/>
  </r>
  <r>
    <d v="2019-05-01T00:00:00"/>
    <x v="1"/>
    <n v="9.5443657539999993"/>
  </r>
  <r>
    <d v="2019-06-01T00:00:00"/>
    <x v="1"/>
    <n v="3.4711253119999999"/>
  </r>
  <r>
    <d v="2019-07-01T00:00:00"/>
    <x v="1"/>
    <n v="6.6544955190000001"/>
  </r>
  <r>
    <d v="2014-07-01T00:00:00"/>
    <x v="2"/>
    <n v="2.6093741700000002"/>
  </r>
  <r>
    <d v="2014-08-01T00:00:00"/>
    <x v="2"/>
    <n v="1.9520356560000001"/>
  </r>
  <r>
    <d v="2014-09-01T00:00:00"/>
    <x v="2"/>
    <n v="-0.26156309599999999"/>
  </r>
  <r>
    <d v="2014-10-01T00:00:00"/>
    <x v="2"/>
    <n v="14.77649385"/>
  </r>
  <r>
    <d v="2014-11-01T00:00:00"/>
    <x v="2"/>
    <n v="-1.8963009559999999"/>
  </r>
  <r>
    <d v="2014-12-01T00:00:00"/>
    <x v="2"/>
    <n v="-0.49516729100000001"/>
  </r>
  <r>
    <d v="2015-01-01T00:00:00"/>
    <x v="2"/>
    <n v="-1.2355739960000001"/>
  </r>
  <r>
    <d v="2015-02-01T00:00:00"/>
    <x v="2"/>
    <n v="-2.0016537589999999"/>
  </r>
  <r>
    <d v="2015-03-01T00:00:00"/>
    <x v="2"/>
    <n v="-4.5364350890000003"/>
  </r>
  <r>
    <d v="2015-04-01T00:00:00"/>
    <x v="2"/>
    <n v="-4.8430370570000001"/>
  </r>
  <r>
    <d v="2015-05-01T00:00:00"/>
    <x v="2"/>
    <n v="-3.8943596029999998"/>
  </r>
  <r>
    <d v="2015-06-01T00:00:00"/>
    <x v="2"/>
    <n v="1.48033634"/>
  </r>
  <r>
    <d v="2015-07-01T00:00:00"/>
    <x v="2"/>
    <n v="-10.07223823"/>
  </r>
  <r>
    <d v="2015-08-01T00:00:00"/>
    <x v="2"/>
    <n v="0.85391805799999998"/>
  </r>
  <r>
    <d v="2015-09-01T00:00:00"/>
    <x v="2"/>
    <n v="-11.7211686"/>
  </r>
  <r>
    <d v="2015-10-01T00:00:00"/>
    <x v="2"/>
    <n v="2.7952608429999999"/>
  </r>
  <r>
    <d v="2015-11-01T00:00:00"/>
    <x v="2"/>
    <n v="4.1808103650000001"/>
  </r>
  <r>
    <d v="2015-12-01T00:00:00"/>
    <x v="2"/>
    <n v="9.1612498410000001"/>
  </r>
  <r>
    <d v="2016-01-01T00:00:00"/>
    <x v="2"/>
    <n v="-3.0142617999999999E-2"/>
  </r>
  <r>
    <d v="2016-02-01T00:00:00"/>
    <x v="2"/>
    <n v="3.2408807839999998"/>
  </r>
  <r>
    <d v="2016-03-01T00:00:00"/>
    <x v="2"/>
    <n v="-1.642499682"/>
  </r>
  <r>
    <d v="2016-04-01T00:00:00"/>
    <x v="2"/>
    <n v="5.8471237470000004"/>
  </r>
  <r>
    <d v="2016-05-01T00:00:00"/>
    <x v="2"/>
    <n v="3.9201044089999999"/>
  </r>
  <r>
    <d v="2016-06-01T00:00:00"/>
    <x v="2"/>
    <n v="-6.8488188000000005E-2"/>
  </r>
  <r>
    <d v="2016-07-01T00:00:00"/>
    <x v="2"/>
    <n v="-2.0967518119999999"/>
  </r>
  <r>
    <d v="2016-08-01T00:00:00"/>
    <x v="2"/>
    <n v="1.6429245139999999"/>
  </r>
  <r>
    <d v="2016-09-01T00:00:00"/>
    <x v="2"/>
    <n v="-2.9118138660000001"/>
  </r>
  <r>
    <d v="2016-10-01T00:00:00"/>
    <x v="2"/>
    <n v="0.585559037"/>
  </r>
  <r>
    <d v="2016-11-01T00:00:00"/>
    <x v="2"/>
    <n v="-1.8599992249999999"/>
  </r>
  <r>
    <d v="2016-12-01T00:00:00"/>
    <x v="2"/>
    <n v="-2.7522345580000001"/>
  </r>
  <r>
    <d v="2017-01-01T00:00:00"/>
    <x v="2"/>
    <n v="6.2781112490000002"/>
  </r>
  <r>
    <d v="2017-02-01T00:00:00"/>
    <x v="2"/>
    <n v="1.6212985449999999"/>
  </r>
  <r>
    <d v="2017-03-01T00:00:00"/>
    <x v="2"/>
    <n v="5.0676853370000003"/>
  </r>
  <r>
    <d v="2017-04-01T00:00:00"/>
    <x v="2"/>
    <n v="4.5491188459999998"/>
  </r>
  <r>
    <d v="2017-05-01T00:00:00"/>
    <x v="2"/>
    <n v="-3.070697112"/>
  </r>
  <r>
    <d v="2017-06-01T00:00:00"/>
    <x v="2"/>
    <n v="5.695040594"/>
  </r>
  <r>
    <d v="2017-07-01T00:00:00"/>
    <x v="2"/>
    <n v="-2.4003025629999999"/>
  </r>
  <r>
    <d v="2017-08-01T00:00:00"/>
    <x v="2"/>
    <n v="0.71923226699999998"/>
  </r>
  <r>
    <d v="2017-09-01T00:00:00"/>
    <x v="2"/>
    <n v="11.73534242"/>
  </r>
  <r>
    <d v="2017-10-01T00:00:00"/>
    <x v="2"/>
    <n v="11.361817909999999"/>
  </r>
  <r>
    <d v="2017-11-01T00:00:00"/>
    <x v="2"/>
    <n v="1.5633093549999999"/>
  </r>
  <r>
    <d v="2017-12-01T00:00:00"/>
    <x v="2"/>
    <n v="8.518278553"/>
  </r>
  <r>
    <d v="2018-01-01T00:00:00"/>
    <x v="2"/>
    <n v="-15.562839739999999"/>
  </r>
  <r>
    <d v="2018-02-01T00:00:00"/>
    <x v="2"/>
    <n v="-1.1554304529999999"/>
  </r>
  <r>
    <d v="2018-03-01T00:00:00"/>
    <x v="2"/>
    <n v="1.9536214999999999E-2"/>
  </r>
  <r>
    <d v="2018-04-01T00:00:00"/>
    <x v="2"/>
    <n v="-6.6922769799999999"/>
  </r>
  <r>
    <d v="2018-05-01T00:00:00"/>
    <x v="2"/>
    <n v="4.4216015520000003"/>
  </r>
  <r>
    <d v="2018-06-01T00:00:00"/>
    <x v="2"/>
    <n v="4.1797970229999999"/>
  </r>
  <r>
    <d v="2018-07-01T00:00:00"/>
    <x v="2"/>
    <n v="7.4302251960000003"/>
  </r>
  <r>
    <d v="2018-08-01T00:00:00"/>
    <x v="2"/>
    <n v="-1.465205818"/>
  </r>
  <r>
    <d v="2018-09-01T00:00:00"/>
    <x v="2"/>
    <n v="6.7830797519999999"/>
  </r>
  <r>
    <d v="2018-10-01T00:00:00"/>
    <x v="2"/>
    <n v="-2.622656369"/>
  </r>
  <r>
    <d v="2018-11-01T00:00:00"/>
    <x v="2"/>
    <n v="-4.6082943040000002"/>
  </r>
  <r>
    <d v="2018-12-01T00:00:00"/>
    <x v="2"/>
    <n v="3.438487184"/>
  </r>
  <r>
    <d v="2019-01-01T00:00:00"/>
    <x v="2"/>
    <n v="3.2974931160000001"/>
  </r>
  <r>
    <d v="2019-02-01T00:00:00"/>
    <x v="2"/>
    <n v="-1.474883232"/>
  </r>
  <r>
    <d v="2019-03-01T00:00:00"/>
    <x v="2"/>
    <n v="6.0118326519999998"/>
  </r>
  <r>
    <d v="2019-04-01T00:00:00"/>
    <x v="2"/>
    <n v="-1.361337271"/>
  </r>
  <r>
    <d v="2019-05-01T00:00:00"/>
    <x v="2"/>
    <n v="9.500146569"/>
  </r>
  <r>
    <d v="2019-06-01T00:00:00"/>
    <x v="2"/>
    <n v="-9.9554534E-2"/>
  </r>
  <r>
    <d v="2019-07-01T00:00:00"/>
    <x v="2"/>
    <n v="3.515134493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2BF2C-69E0-49DE-8E4D-6BA46997DC7B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E2:H5" firstHeaderRow="1" firstDataRow="2" firstDataCol="1"/>
  <pivotFields count="3">
    <pivotField numFmtId="14" showAll="0"/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-2"/>
  </rowFields>
  <rowItems count="2">
    <i>
      <x/>
    </i>
    <i i="1">
      <x v="1"/>
    </i>
  </rowItems>
  <colFields count="1">
    <field x="1"/>
  </colFields>
  <colItems count="3">
    <i>
      <x/>
    </i>
    <i>
      <x v="1"/>
    </i>
    <i>
      <x v="2"/>
    </i>
  </colItems>
  <dataFields count="2">
    <dataField name="Expected (or average) return" fld="2" subtotal="average" baseField="1" baseItem="0" numFmtId="2"/>
    <dataField name="Risk (std. dev. of return)" fld="2" subtotal="stdDevp" baseField="1" baseItem="0" numFmtId="2"/>
  </dataFields>
  <formats count="4">
    <format dxfId="3">
      <pivotArea outline="0" collapsedLevelsAreSubtotals="1" fieldPosition="0"/>
    </format>
    <format dxfId="2">
      <pivotArea field="1" type="button" dataOnly="0" labelOnly="1" outline="0" axis="axisCol" fieldPosition="0"/>
    </format>
    <format dxfId="1">
      <pivotArea type="topRight" dataOnly="0" labelOnly="1" outline="0" fieldPosition="0"/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DBC1-3227-4520-9442-BD42F8B4B05B}">
  <dimension ref="A1:L184"/>
  <sheetViews>
    <sheetView showGridLines="0" tabSelected="1" workbookViewId="0">
      <selection activeCell="F13" sqref="F13"/>
    </sheetView>
  </sheetViews>
  <sheetFormatPr defaultRowHeight="14.5" x14ac:dyDescent="0.35"/>
  <cols>
    <col min="1" max="2" width="8.6640625" style="33"/>
    <col min="3" max="3" width="15.33203125" style="37" bestFit="1" customWidth="1"/>
    <col min="4" max="4" width="8.6640625" style="30"/>
    <col min="5" max="5" width="24.33203125" style="30" bestFit="1" customWidth="1"/>
    <col min="6" max="8" width="14" style="33" customWidth="1"/>
    <col min="9" max="9" width="10.58203125" style="30" bestFit="1" customWidth="1"/>
    <col min="10" max="10" width="15.6640625" style="30" bestFit="1" customWidth="1"/>
    <col min="11" max="11" width="20.33203125" style="30" bestFit="1" customWidth="1"/>
    <col min="12" max="12" width="20.4140625" style="30" bestFit="1" customWidth="1"/>
    <col min="13" max="16384" width="8.6640625" style="30"/>
  </cols>
  <sheetData>
    <row r="1" spans="1:12" x14ac:dyDescent="0.35">
      <c r="A1" s="49" t="s">
        <v>16</v>
      </c>
      <c r="B1" s="49" t="s">
        <v>17</v>
      </c>
      <c r="C1" s="50" t="s">
        <v>22</v>
      </c>
    </row>
    <row r="2" spans="1:12" ht="15.5" x14ac:dyDescent="0.35">
      <c r="A2" s="36">
        <v>41821</v>
      </c>
      <c r="B2" s="33" t="s">
        <v>6</v>
      </c>
      <c r="C2" s="37">
        <v>8.3229559510000009</v>
      </c>
      <c r="E2"/>
      <c r="F2" s="34" t="s">
        <v>18</v>
      </c>
      <c r="G2" s="9"/>
      <c r="H2" s="9"/>
      <c r="I2"/>
      <c r="J2"/>
      <c r="K2"/>
      <c r="L2"/>
    </row>
    <row r="3" spans="1:12" ht="15.5" x14ac:dyDescent="0.35">
      <c r="A3" s="36">
        <v>41852</v>
      </c>
      <c r="B3" s="33" t="s">
        <v>6</v>
      </c>
      <c r="C3" s="37">
        <v>-4.8961793770000002</v>
      </c>
      <c r="E3" s="31" t="s">
        <v>19</v>
      </c>
      <c r="F3" s="9" t="s">
        <v>6</v>
      </c>
      <c r="G3" s="9" t="s">
        <v>7</v>
      </c>
      <c r="H3" s="9" t="s">
        <v>8</v>
      </c>
      <c r="I3"/>
      <c r="J3"/>
      <c r="K3"/>
      <c r="L3"/>
    </row>
    <row r="4" spans="1:12" ht="15.5" x14ac:dyDescent="0.35">
      <c r="A4" s="36">
        <v>41883</v>
      </c>
      <c r="B4" s="33" t="s">
        <v>6</v>
      </c>
      <c r="C4" s="37">
        <v>-5.2660993969999996</v>
      </c>
      <c r="E4" s="32" t="s">
        <v>21</v>
      </c>
      <c r="F4" s="35">
        <v>3.2301824721147545</v>
      </c>
      <c r="G4" s="35">
        <v>2.0356607382295073</v>
      </c>
      <c r="H4" s="35">
        <v>1.0806513842622953</v>
      </c>
      <c r="I4"/>
      <c r="J4"/>
      <c r="K4"/>
      <c r="L4"/>
    </row>
    <row r="5" spans="1:12" ht="15.5" x14ac:dyDescent="0.35">
      <c r="A5" s="36">
        <v>41913</v>
      </c>
      <c r="B5" s="33" t="s">
        <v>6</v>
      </c>
      <c r="C5" s="37">
        <v>10.862314209999999</v>
      </c>
      <c r="E5" s="32" t="s">
        <v>20</v>
      </c>
      <c r="F5" s="35">
        <v>8.3996434090209551</v>
      </c>
      <c r="G5" s="35">
        <v>5.2612649161983622</v>
      </c>
      <c r="H5" s="35">
        <v>5.3832600793827652</v>
      </c>
      <c r="I5"/>
      <c r="J5"/>
      <c r="K5"/>
      <c r="L5"/>
    </row>
    <row r="6" spans="1:12" ht="15.5" x14ac:dyDescent="0.35">
      <c r="A6" s="36">
        <v>41944</v>
      </c>
      <c r="B6" s="33" t="s">
        <v>6</v>
      </c>
      <c r="C6" s="37">
        <v>-8.3540065400000003</v>
      </c>
      <c r="E6"/>
      <c r="F6" s="9"/>
      <c r="G6" s="9"/>
    </row>
    <row r="7" spans="1:12" ht="15.5" x14ac:dyDescent="0.35">
      <c r="A7" s="36">
        <v>41974</v>
      </c>
      <c r="B7" s="33" t="s">
        <v>6</v>
      </c>
      <c r="C7" s="37">
        <v>14.235537989999999</v>
      </c>
      <c r="E7" s="39" t="s">
        <v>24</v>
      </c>
      <c r="F7" s="38" t="s">
        <v>6</v>
      </c>
      <c r="G7" s="39" t="s">
        <v>7</v>
      </c>
      <c r="H7" s="39" t="s">
        <v>8</v>
      </c>
    </row>
    <row r="8" spans="1:12" ht="15.5" x14ac:dyDescent="0.35">
      <c r="A8" s="36">
        <v>42005</v>
      </c>
      <c r="B8" s="33" t="s">
        <v>6</v>
      </c>
      <c r="C8" s="37">
        <v>7.2292909129999998</v>
      </c>
      <c r="E8" s="39" t="s">
        <v>6</v>
      </c>
      <c r="F8" s="40">
        <f>CORREL($C$2:$C$62,$C$2:$C$62)</f>
        <v>1</v>
      </c>
      <c r="G8" s="40">
        <f>F9</f>
        <v>0.41635224795356601</v>
      </c>
      <c r="H8" s="40">
        <f>F10</f>
        <v>0.10958429415090515</v>
      </c>
    </row>
    <row r="9" spans="1:12" ht="15.5" x14ac:dyDescent="0.35">
      <c r="A9" s="36">
        <v>42036</v>
      </c>
      <c r="B9" s="33" t="s">
        <v>6</v>
      </c>
      <c r="C9" s="37">
        <v>-2.1201593839999999</v>
      </c>
      <c r="E9" s="39" t="s">
        <v>7</v>
      </c>
      <c r="F9" s="41">
        <f>CORREL($C$63:$C$123,$C$2:$C$62)</f>
        <v>0.41635224795356601</v>
      </c>
      <c r="G9" s="40">
        <f>CORREL($C$63:$C$123,$C$63:$C$123)</f>
        <v>1.0000000000000002</v>
      </c>
      <c r="H9" s="40">
        <f>G10</f>
        <v>0.18536279378341286</v>
      </c>
    </row>
    <row r="10" spans="1:12" ht="15.5" x14ac:dyDescent="0.35">
      <c r="A10" s="36">
        <v>42064</v>
      </c>
      <c r="B10" s="33" t="s">
        <v>6</v>
      </c>
      <c r="C10" s="37">
        <v>13.35124757</v>
      </c>
      <c r="E10" s="39" t="s">
        <v>8</v>
      </c>
      <c r="F10" s="41">
        <f>CORREL($C$124:$C$184,$C$2:$C$62)</f>
        <v>0.10958429415090515</v>
      </c>
      <c r="G10" s="41">
        <f>CORREL($C$124:$C$184,$C$63:$C$123)</f>
        <v>0.18536279378341286</v>
      </c>
      <c r="H10" s="40">
        <f>CORREL($C$124:$C$184,$C$124:$C$184)</f>
        <v>0.99999999999999989</v>
      </c>
    </row>
    <row r="11" spans="1:12" ht="15.5" x14ac:dyDescent="0.35">
      <c r="A11" s="36">
        <v>42095</v>
      </c>
      <c r="B11" s="33" t="s">
        <v>6</v>
      </c>
      <c r="C11" s="37">
        <v>1.766326525</v>
      </c>
      <c r="E11"/>
      <c r="F11" s="9"/>
      <c r="G11" s="9"/>
    </row>
    <row r="12" spans="1:12" ht="15.5" x14ac:dyDescent="0.35">
      <c r="A12" s="36">
        <v>42125</v>
      </c>
      <c r="B12" s="33" t="s">
        <v>6</v>
      </c>
      <c r="C12" s="37">
        <v>1.13225657</v>
      </c>
      <c r="E12" s="39" t="s">
        <v>23</v>
      </c>
      <c r="F12" s="38" t="s">
        <v>6</v>
      </c>
      <c r="G12" s="39" t="s">
        <v>7</v>
      </c>
      <c r="H12" s="39" t="s">
        <v>8</v>
      </c>
    </row>
    <row r="13" spans="1:12" ht="15.5" x14ac:dyDescent="0.35">
      <c r="A13" s="36">
        <v>42156</v>
      </c>
      <c r="B13" s="33" t="s">
        <v>6</v>
      </c>
      <c r="C13" s="37">
        <v>23.51126009</v>
      </c>
      <c r="E13" s="39" t="s">
        <v>6</v>
      </c>
      <c r="F13" s="41">
        <f>_xlfn.COVARIANCE.P($C$2:$C$62,$C$2:$C$62)</f>
        <v>70.554009398709169</v>
      </c>
      <c r="G13" s="41">
        <f>F14</f>
        <v>18.399750462866709</v>
      </c>
      <c r="H13" s="41">
        <f>F15</f>
        <v>4.9551239902312583</v>
      </c>
    </row>
    <row r="14" spans="1:12" ht="15.5" x14ac:dyDescent="0.35">
      <c r="A14" s="36">
        <v>42186</v>
      </c>
      <c r="B14" s="33" t="s">
        <v>6</v>
      </c>
      <c r="C14" s="37">
        <v>-4.3383396359999997</v>
      </c>
      <c r="E14" s="39" t="s">
        <v>7</v>
      </c>
      <c r="F14" s="41">
        <f>_xlfn.COVARIANCE.P($C$63:$C$123,$C$2:$C$62)</f>
        <v>18.399750462866709</v>
      </c>
      <c r="G14" s="41">
        <f>_xlfn.COVARIANCE.P($C$63:$C$123,$C$63:$C$123)</f>
        <v>27.680908518419763</v>
      </c>
      <c r="H14" s="41">
        <f>G15</f>
        <v>5.2499854375394923</v>
      </c>
    </row>
    <row r="15" spans="1:12" ht="15.5" x14ac:dyDescent="0.35">
      <c r="A15" s="36">
        <v>42217</v>
      </c>
      <c r="B15" s="33" t="s">
        <v>6</v>
      </c>
      <c r="C15" s="37">
        <v>-0.19497357500000001</v>
      </c>
      <c r="E15" s="39" t="s">
        <v>8</v>
      </c>
      <c r="F15" s="41">
        <f>_xlfn.COVARIANCE.P($C$124:$C$184,$C$2:$C$62)</f>
        <v>4.9551239902312583</v>
      </c>
      <c r="G15" s="41">
        <f>_xlfn.COVARIANCE.P($C$124:$C$184,$C$63:$C$123)</f>
        <v>5.2499854375394923</v>
      </c>
      <c r="H15" s="41">
        <f>_xlfn.COVARIANCE.P($C$124:$C$184,$C$124:$C$184)</f>
        <v>28.979489082276132</v>
      </c>
    </row>
    <row r="16" spans="1:12" ht="15.5" x14ac:dyDescent="0.35">
      <c r="A16" s="36">
        <v>42248</v>
      </c>
      <c r="B16" s="33" t="s">
        <v>6</v>
      </c>
      <c r="C16" s="37">
        <v>22.27236431</v>
      </c>
      <c r="E16"/>
      <c r="F16" s="9"/>
      <c r="G16" s="9"/>
    </row>
    <row r="17" spans="1:7" ht="15.5" x14ac:dyDescent="0.35">
      <c r="A17" s="36">
        <v>42278</v>
      </c>
      <c r="B17" s="33" t="s">
        <v>6</v>
      </c>
      <c r="C17" s="37">
        <v>6.2150443370000001</v>
      </c>
      <c r="E17"/>
      <c r="F17" s="9"/>
      <c r="G17" s="9"/>
    </row>
    <row r="18" spans="1:7" ht="15.5" x14ac:dyDescent="0.35">
      <c r="A18" s="36">
        <v>42309</v>
      </c>
      <c r="B18" s="33" t="s">
        <v>6</v>
      </c>
      <c r="C18" s="37">
        <v>1.6681749699999999</v>
      </c>
      <c r="E18"/>
      <c r="F18" s="9"/>
      <c r="G18" s="9"/>
    </row>
    <row r="19" spans="1:7" ht="15.5" x14ac:dyDescent="0.35">
      <c r="A19" s="36">
        <v>42339</v>
      </c>
      <c r="B19" s="33" t="s">
        <v>6</v>
      </c>
      <c r="C19" s="37">
        <v>-13.15155026</v>
      </c>
      <c r="E19"/>
      <c r="F19" s="9"/>
      <c r="G19" s="9"/>
    </row>
    <row r="20" spans="1:7" x14ac:dyDescent="0.35">
      <c r="A20" s="36">
        <v>42370</v>
      </c>
      <c r="B20" s="33" t="s">
        <v>6</v>
      </c>
      <c r="C20" s="37">
        <v>-5.8739318569999996</v>
      </c>
    </row>
    <row r="21" spans="1:7" x14ac:dyDescent="0.35">
      <c r="A21" s="36">
        <v>42401</v>
      </c>
      <c r="B21" s="33" t="s">
        <v>6</v>
      </c>
      <c r="C21" s="37">
        <v>7.442263359</v>
      </c>
    </row>
    <row r="22" spans="1:7" x14ac:dyDescent="0.35">
      <c r="A22" s="36">
        <v>42430</v>
      </c>
      <c r="B22" s="33" t="s">
        <v>6</v>
      </c>
      <c r="C22" s="37">
        <v>11.10942833</v>
      </c>
    </row>
    <row r="23" spans="1:7" x14ac:dyDescent="0.35">
      <c r="A23" s="36">
        <v>42461</v>
      </c>
      <c r="B23" s="33" t="s">
        <v>6</v>
      </c>
      <c r="C23" s="37">
        <v>9.5817020290000006</v>
      </c>
    </row>
    <row r="24" spans="1:7" x14ac:dyDescent="0.35">
      <c r="A24" s="36">
        <v>42491</v>
      </c>
      <c r="B24" s="33" t="s">
        <v>6</v>
      </c>
      <c r="C24" s="37">
        <v>-0.99198705300000001</v>
      </c>
    </row>
    <row r="25" spans="1:7" x14ac:dyDescent="0.35">
      <c r="A25" s="36">
        <v>42522</v>
      </c>
      <c r="B25" s="33" t="s">
        <v>6</v>
      </c>
      <c r="C25" s="37">
        <v>6.0353264720000004</v>
      </c>
    </row>
    <row r="26" spans="1:7" x14ac:dyDescent="0.35">
      <c r="A26" s="36">
        <v>42552</v>
      </c>
      <c r="B26" s="33" t="s">
        <v>6</v>
      </c>
      <c r="C26" s="37">
        <v>1.3639745160000001</v>
      </c>
    </row>
    <row r="27" spans="1:7" x14ac:dyDescent="0.35">
      <c r="A27" s="36">
        <v>42583</v>
      </c>
      <c r="B27" s="33" t="s">
        <v>6</v>
      </c>
      <c r="C27" s="37">
        <v>8.8603187099999996</v>
      </c>
    </row>
    <row r="28" spans="1:7" x14ac:dyDescent="0.35">
      <c r="A28" s="36">
        <v>42614</v>
      </c>
      <c r="B28" s="33" t="s">
        <v>6</v>
      </c>
      <c r="C28" s="37">
        <v>-5.671733422</v>
      </c>
    </row>
    <row r="29" spans="1:7" x14ac:dyDescent="0.35">
      <c r="A29" s="36">
        <v>42644</v>
      </c>
      <c r="B29" s="33" t="s">
        <v>6</v>
      </c>
      <c r="C29" s="37">
        <v>-4.9694866739999997</v>
      </c>
    </row>
    <row r="30" spans="1:7" x14ac:dyDescent="0.35">
      <c r="A30" s="36">
        <v>42675</v>
      </c>
      <c r="B30" s="33" t="s">
        <v>6</v>
      </c>
      <c r="C30" s="37">
        <v>2.4101637199999999</v>
      </c>
    </row>
    <row r="31" spans="1:7" x14ac:dyDescent="0.35">
      <c r="A31" s="36">
        <v>42705</v>
      </c>
      <c r="B31" s="33" t="s">
        <v>6</v>
      </c>
      <c r="C31" s="37">
        <v>7.1318930250000001</v>
      </c>
    </row>
    <row r="32" spans="1:7" x14ac:dyDescent="0.35">
      <c r="A32" s="36">
        <v>42736</v>
      </c>
      <c r="B32" s="33" t="s">
        <v>6</v>
      </c>
      <c r="C32" s="37">
        <v>2.6181569100000002</v>
      </c>
    </row>
    <row r="33" spans="1:3" x14ac:dyDescent="0.35">
      <c r="A33" s="36">
        <v>42767</v>
      </c>
      <c r="B33" s="33" t="s">
        <v>6</v>
      </c>
      <c r="C33" s="37">
        <v>4.9110102580000001</v>
      </c>
    </row>
    <row r="34" spans="1:3" x14ac:dyDescent="0.35">
      <c r="A34" s="36">
        <v>42795</v>
      </c>
      <c r="B34" s="33" t="s">
        <v>6</v>
      </c>
      <c r="C34" s="37">
        <v>4.33708721</v>
      </c>
    </row>
    <row r="35" spans="1:3" x14ac:dyDescent="0.35">
      <c r="A35" s="36">
        <v>42826</v>
      </c>
      <c r="B35" s="33" t="s">
        <v>6</v>
      </c>
      <c r="C35" s="37">
        <v>7.5276495690000003</v>
      </c>
    </row>
    <row r="36" spans="1:3" x14ac:dyDescent="0.35">
      <c r="A36" s="36">
        <v>42856</v>
      </c>
      <c r="B36" s="33" t="s">
        <v>6</v>
      </c>
      <c r="C36" s="37">
        <v>-2.6763985379999999</v>
      </c>
    </row>
    <row r="37" spans="1:3" x14ac:dyDescent="0.35">
      <c r="A37" s="36">
        <v>42887</v>
      </c>
      <c r="B37" s="33" t="s">
        <v>6</v>
      </c>
      <c r="C37" s="37">
        <v>2.0433914259999999</v>
      </c>
    </row>
    <row r="38" spans="1:3" x14ac:dyDescent="0.35">
      <c r="A38" s="36">
        <v>42917</v>
      </c>
      <c r="B38" s="33" t="s">
        <v>6</v>
      </c>
      <c r="C38" s="37">
        <v>-0.72688784799999995</v>
      </c>
    </row>
    <row r="39" spans="1:3" x14ac:dyDescent="0.35">
      <c r="A39" s="36">
        <v>42948</v>
      </c>
      <c r="B39" s="33" t="s">
        <v>6</v>
      </c>
      <c r="C39" s="37">
        <v>-1.9630838740000001</v>
      </c>
    </row>
    <row r="40" spans="1:3" x14ac:dyDescent="0.35">
      <c r="A40" s="36">
        <v>42979</v>
      </c>
      <c r="B40" s="33" t="s">
        <v>6</v>
      </c>
      <c r="C40" s="37">
        <v>14.971660330000001</v>
      </c>
    </row>
    <row r="41" spans="1:3" x14ac:dyDescent="0.35">
      <c r="A41" s="36">
        <v>43009</v>
      </c>
      <c r="B41" s="33" t="s">
        <v>6</v>
      </c>
      <c r="C41" s="37">
        <v>6.4662320070000003</v>
      </c>
    </row>
    <row r="42" spans="1:3" x14ac:dyDescent="0.35">
      <c r="A42" s="36">
        <v>43040</v>
      </c>
      <c r="B42" s="33" t="s">
        <v>6</v>
      </c>
      <c r="C42" s="37">
        <v>-0.61865553399999995</v>
      </c>
    </row>
    <row r="43" spans="1:3" x14ac:dyDescent="0.35">
      <c r="A43" s="36">
        <v>43070</v>
      </c>
      <c r="B43" s="33" t="s">
        <v>6</v>
      </c>
      <c r="C43" s="37">
        <v>24.063896549999999</v>
      </c>
    </row>
    <row r="44" spans="1:3" x14ac:dyDescent="0.35">
      <c r="A44" s="36">
        <v>43101</v>
      </c>
      <c r="B44" s="33" t="s">
        <v>6</v>
      </c>
      <c r="C44" s="37">
        <v>4.242908516</v>
      </c>
    </row>
    <row r="45" spans="1:3" x14ac:dyDescent="0.35">
      <c r="A45" s="36">
        <v>43132</v>
      </c>
      <c r="B45" s="33" t="s">
        <v>6</v>
      </c>
      <c r="C45" s="37">
        <v>-4.3049348480000003</v>
      </c>
    </row>
    <row r="46" spans="1:3" x14ac:dyDescent="0.35">
      <c r="A46" s="36">
        <v>43160</v>
      </c>
      <c r="B46" s="33" t="s">
        <v>6</v>
      </c>
      <c r="C46" s="37">
        <v>8.2074731429999996</v>
      </c>
    </row>
    <row r="47" spans="1:3" x14ac:dyDescent="0.35">
      <c r="A47" s="36">
        <v>43191</v>
      </c>
      <c r="B47" s="33" t="s">
        <v>6</v>
      </c>
      <c r="C47" s="37">
        <v>4.0539412309999996</v>
      </c>
    </row>
    <row r="48" spans="1:3" x14ac:dyDescent="0.35">
      <c r="A48" s="36">
        <v>43221</v>
      </c>
      <c r="B48" s="33" t="s">
        <v>6</v>
      </c>
      <c r="C48" s="37">
        <v>4.3065287750000003</v>
      </c>
    </row>
    <row r="49" spans="1:3" x14ac:dyDescent="0.35">
      <c r="A49" s="36">
        <v>43252</v>
      </c>
      <c r="B49" s="33" t="s">
        <v>6</v>
      </c>
      <c r="C49" s="37">
        <v>4.5675897020000003</v>
      </c>
    </row>
    <row r="50" spans="1:3" x14ac:dyDescent="0.35">
      <c r="A50" s="36">
        <v>43282</v>
      </c>
      <c r="B50" s="33" t="s">
        <v>6</v>
      </c>
      <c r="C50" s="37">
        <v>13.236453989999999</v>
      </c>
    </row>
    <row r="51" spans="1:3" x14ac:dyDescent="0.35">
      <c r="A51" s="36">
        <v>43313</v>
      </c>
      <c r="B51" s="33" t="s">
        <v>6</v>
      </c>
      <c r="C51" s="37">
        <v>-0.482432203</v>
      </c>
    </row>
    <row r="52" spans="1:3" x14ac:dyDescent="0.35">
      <c r="A52" s="36">
        <v>43344</v>
      </c>
      <c r="B52" s="33" t="s">
        <v>6</v>
      </c>
      <c r="C52" s="37">
        <v>-20.219170739999999</v>
      </c>
    </row>
    <row r="53" spans="1:3" x14ac:dyDescent="0.35">
      <c r="A53" s="36">
        <v>43374</v>
      </c>
      <c r="B53" s="33" t="s">
        <v>6</v>
      </c>
      <c r="C53" s="37">
        <v>5.7671750130000001</v>
      </c>
    </row>
    <row r="54" spans="1:3" x14ac:dyDescent="0.35">
      <c r="A54" s="36">
        <v>43405</v>
      </c>
      <c r="B54" s="33" t="s">
        <v>6</v>
      </c>
      <c r="C54" s="37">
        <v>-11.13497862</v>
      </c>
    </row>
    <row r="55" spans="1:3" x14ac:dyDescent="0.35">
      <c r="A55" s="36">
        <v>43435</v>
      </c>
      <c r="B55" s="33" t="s">
        <v>6</v>
      </c>
      <c r="C55" s="37">
        <v>14.431713889999999</v>
      </c>
    </row>
    <row r="56" spans="1:3" x14ac:dyDescent="0.35">
      <c r="A56" s="36">
        <v>43466</v>
      </c>
      <c r="B56" s="33" t="s">
        <v>6</v>
      </c>
      <c r="C56" s="37">
        <v>-4.5906003220000002</v>
      </c>
    </row>
    <row r="57" spans="1:3" x14ac:dyDescent="0.35">
      <c r="A57" s="36">
        <v>43497</v>
      </c>
      <c r="B57" s="33" t="s">
        <v>6</v>
      </c>
      <c r="C57" s="37">
        <v>8.593576638</v>
      </c>
    </row>
    <row r="58" spans="1:3" x14ac:dyDescent="0.35">
      <c r="A58" s="36">
        <v>43525</v>
      </c>
      <c r="B58" s="33" t="s">
        <v>6</v>
      </c>
      <c r="C58" s="37">
        <v>8.1858778599999997</v>
      </c>
    </row>
    <row r="59" spans="1:3" x14ac:dyDescent="0.35">
      <c r="A59" s="36">
        <v>43556</v>
      </c>
      <c r="B59" s="33" t="s">
        <v>6</v>
      </c>
      <c r="C59" s="37">
        <v>-7.8613288429999999</v>
      </c>
    </row>
    <row r="60" spans="1:3" x14ac:dyDescent="0.35">
      <c r="A60" s="36">
        <v>43586</v>
      </c>
      <c r="B60" s="33" t="s">
        <v>6</v>
      </c>
      <c r="C60" s="37">
        <v>6.6791767430000002</v>
      </c>
    </row>
    <row r="61" spans="1:3" x14ac:dyDescent="0.35">
      <c r="A61" s="36">
        <v>43617</v>
      </c>
      <c r="B61" s="33" t="s">
        <v>6</v>
      </c>
      <c r="C61" s="37">
        <v>-1.417910359</v>
      </c>
    </row>
    <row r="62" spans="1:3" x14ac:dyDescent="0.35">
      <c r="A62" s="36">
        <v>43647</v>
      </c>
      <c r="B62" s="33" t="s">
        <v>6</v>
      </c>
      <c r="C62" s="37">
        <v>-4.8473836549999998</v>
      </c>
    </row>
    <row r="63" spans="1:3" x14ac:dyDescent="0.35">
      <c r="A63" s="36">
        <v>41821</v>
      </c>
      <c r="B63" s="33" t="s">
        <v>7</v>
      </c>
      <c r="C63" s="37">
        <v>15.64624804</v>
      </c>
    </row>
    <row r="64" spans="1:3" x14ac:dyDescent="0.35">
      <c r="A64" s="36">
        <v>41852</v>
      </c>
      <c r="B64" s="33" t="s">
        <v>7</v>
      </c>
      <c r="C64" s="37">
        <v>-1.8823591980000001</v>
      </c>
    </row>
    <row r="65" spans="1:3" x14ac:dyDescent="0.35">
      <c r="A65" s="36">
        <v>41883</v>
      </c>
      <c r="B65" s="33" t="s">
        <v>7</v>
      </c>
      <c r="C65" s="37">
        <v>6.8374605329999998</v>
      </c>
    </row>
    <row r="66" spans="1:3" x14ac:dyDescent="0.35">
      <c r="A66" s="36">
        <v>41913</v>
      </c>
      <c r="B66" s="33" t="s">
        <v>7</v>
      </c>
      <c r="C66" s="37">
        <v>1.9278038740000001</v>
      </c>
    </row>
    <row r="67" spans="1:3" x14ac:dyDescent="0.35">
      <c r="A67" s="36">
        <v>41944</v>
      </c>
      <c r="B67" s="33" t="s">
        <v>7</v>
      </c>
      <c r="C67" s="37">
        <v>5.603649281</v>
      </c>
    </row>
    <row r="68" spans="1:3" x14ac:dyDescent="0.35">
      <c r="A68" s="36">
        <v>41974</v>
      </c>
      <c r="B68" s="33" t="s">
        <v>7</v>
      </c>
      <c r="C68" s="37">
        <v>-4.8876120000000002E-2</v>
      </c>
    </row>
    <row r="69" spans="1:3" x14ac:dyDescent="0.35">
      <c r="A69" s="36">
        <v>42005</v>
      </c>
      <c r="B69" s="33" t="s">
        <v>7</v>
      </c>
      <c r="C69" s="37">
        <v>9.8927411749999994</v>
      </c>
    </row>
    <row r="70" spans="1:3" x14ac:dyDescent="0.35">
      <c r="A70" s="36">
        <v>42036</v>
      </c>
      <c r="B70" s="33" t="s">
        <v>7</v>
      </c>
      <c r="C70" s="37">
        <v>-0.99347706199999997</v>
      </c>
    </row>
    <row r="71" spans="1:3" x14ac:dyDescent="0.35">
      <c r="A71" s="36">
        <v>42064</v>
      </c>
      <c r="B71" s="33" t="s">
        <v>7</v>
      </c>
      <c r="C71" s="37">
        <v>-5.3511989270000004</v>
      </c>
    </row>
    <row r="72" spans="1:3" x14ac:dyDescent="0.35">
      <c r="A72" s="36">
        <v>42095</v>
      </c>
      <c r="B72" s="33" t="s">
        <v>7</v>
      </c>
      <c r="C72" s="37">
        <v>4.1502934099999997</v>
      </c>
    </row>
    <row r="73" spans="1:3" x14ac:dyDescent="0.35">
      <c r="A73" s="36">
        <v>42125</v>
      </c>
      <c r="B73" s="33" t="s">
        <v>7</v>
      </c>
      <c r="C73" s="37">
        <v>-0.26026937</v>
      </c>
    </row>
    <row r="74" spans="1:3" x14ac:dyDescent="0.35">
      <c r="A74" s="36">
        <v>42156</v>
      </c>
      <c r="B74" s="33" t="s">
        <v>7</v>
      </c>
      <c r="C74" s="37">
        <v>5.8684473930000003</v>
      </c>
    </row>
    <row r="75" spans="1:3" x14ac:dyDescent="0.35">
      <c r="A75" s="36">
        <v>42186</v>
      </c>
      <c r="B75" s="33" t="s">
        <v>7</v>
      </c>
      <c r="C75" s="37">
        <v>-0.48705965600000001</v>
      </c>
    </row>
    <row r="76" spans="1:3" x14ac:dyDescent="0.35">
      <c r="A76" s="36">
        <v>42217</v>
      </c>
      <c r="B76" s="33" t="s">
        <v>7</v>
      </c>
      <c r="C76" s="37">
        <v>-0.832915607</v>
      </c>
    </row>
    <row r="77" spans="1:3" x14ac:dyDescent="0.35">
      <c r="A77" s="36">
        <v>42248</v>
      </c>
      <c r="B77" s="33" t="s">
        <v>7</v>
      </c>
      <c r="C77" s="37">
        <v>7.6020211619999998</v>
      </c>
    </row>
    <row r="78" spans="1:3" x14ac:dyDescent="0.35">
      <c r="A78" s="36">
        <v>42278</v>
      </c>
      <c r="B78" s="33" t="s">
        <v>7</v>
      </c>
      <c r="C78" s="37">
        <v>8.2821160759999994</v>
      </c>
    </row>
    <row r="79" spans="1:3" x14ac:dyDescent="0.35">
      <c r="A79" s="36">
        <v>42309</v>
      </c>
      <c r="B79" s="33" t="s">
        <v>7</v>
      </c>
      <c r="C79" s="37">
        <v>-1.2175103730000001</v>
      </c>
    </row>
    <row r="80" spans="1:3" x14ac:dyDescent="0.35">
      <c r="A80" s="36">
        <v>42339</v>
      </c>
      <c r="B80" s="33" t="s">
        <v>7</v>
      </c>
      <c r="C80" s="37">
        <v>-4.4864499310000001</v>
      </c>
    </row>
    <row r="81" spans="1:3" x14ac:dyDescent="0.35">
      <c r="A81" s="36">
        <v>42370</v>
      </c>
      <c r="B81" s="33" t="s">
        <v>7</v>
      </c>
      <c r="C81" s="37">
        <v>-1.3040722060000001</v>
      </c>
    </row>
    <row r="82" spans="1:3" x14ac:dyDescent="0.35">
      <c r="A82" s="36">
        <v>42401</v>
      </c>
      <c r="B82" s="33" t="s">
        <v>7</v>
      </c>
      <c r="C82" s="37">
        <v>7.5007988240000003</v>
      </c>
    </row>
    <row r="83" spans="1:3" x14ac:dyDescent="0.35">
      <c r="A83" s="36">
        <v>42430</v>
      </c>
      <c r="B83" s="33" t="s">
        <v>7</v>
      </c>
      <c r="C83" s="37">
        <v>0.89654332000000003</v>
      </c>
    </row>
    <row r="84" spans="1:3" x14ac:dyDescent="0.35">
      <c r="A84" s="36">
        <v>42461</v>
      </c>
      <c r="B84" s="33" t="s">
        <v>7</v>
      </c>
      <c r="C84" s="37">
        <v>-1.321997944</v>
      </c>
    </row>
    <row r="85" spans="1:3" x14ac:dyDescent="0.35">
      <c r="A85" s="36">
        <v>42491</v>
      </c>
      <c r="B85" s="33" t="s">
        <v>7</v>
      </c>
      <c r="C85" s="37">
        <v>-2.8525401810000002</v>
      </c>
    </row>
    <row r="86" spans="1:3" x14ac:dyDescent="0.35">
      <c r="A86" s="36">
        <v>42522</v>
      </c>
      <c r="B86" s="33" t="s">
        <v>7</v>
      </c>
      <c r="C86" s="37">
        <v>8.2622178030000004</v>
      </c>
    </row>
    <row r="87" spans="1:3" x14ac:dyDescent="0.35">
      <c r="A87" s="36">
        <v>42552</v>
      </c>
      <c r="B87" s="33" t="s">
        <v>7</v>
      </c>
      <c r="C87" s="37">
        <v>-2.9803443989999998</v>
      </c>
    </row>
    <row r="88" spans="1:3" x14ac:dyDescent="0.35">
      <c r="A88" s="36">
        <v>42583</v>
      </c>
      <c r="B88" s="33" t="s">
        <v>7</v>
      </c>
      <c r="C88" s="37">
        <v>-3.5640549639999999</v>
      </c>
    </row>
    <row r="89" spans="1:3" x14ac:dyDescent="0.35">
      <c r="A89" s="36">
        <v>42614</v>
      </c>
      <c r="B89" s="33" t="s">
        <v>7</v>
      </c>
      <c r="C89" s="37">
        <v>-5.183391877</v>
      </c>
    </row>
    <row r="90" spans="1:3" x14ac:dyDescent="0.35">
      <c r="A90" s="36">
        <v>42644</v>
      </c>
      <c r="B90" s="33" t="s">
        <v>7</v>
      </c>
      <c r="C90" s="37">
        <v>6.0568905480000002</v>
      </c>
    </row>
    <row r="91" spans="1:3" x14ac:dyDescent="0.35">
      <c r="A91" s="36">
        <v>42675</v>
      </c>
      <c r="B91" s="33" t="s">
        <v>7</v>
      </c>
      <c r="C91" s="37">
        <v>4.1668697440000004</v>
      </c>
    </row>
    <row r="92" spans="1:3" x14ac:dyDescent="0.35">
      <c r="A92" s="36">
        <v>42705</v>
      </c>
      <c r="B92" s="33" t="s">
        <v>7</v>
      </c>
      <c r="C92" s="37">
        <v>2.610374722</v>
      </c>
    </row>
    <row r="93" spans="1:3" x14ac:dyDescent="0.35">
      <c r="A93" s="36">
        <v>42736</v>
      </c>
      <c r="B93" s="33" t="s">
        <v>7</v>
      </c>
      <c r="C93" s="37">
        <v>5.3278051160000004</v>
      </c>
    </row>
    <row r="94" spans="1:3" x14ac:dyDescent="0.35">
      <c r="A94" s="36">
        <v>42767</v>
      </c>
      <c r="B94" s="33" t="s">
        <v>7</v>
      </c>
      <c r="C94" s="37">
        <v>1.3249602009999999</v>
      </c>
    </row>
    <row r="95" spans="1:3" x14ac:dyDescent="0.35">
      <c r="A95" s="36">
        <v>42795</v>
      </c>
      <c r="B95" s="33" t="s">
        <v>7</v>
      </c>
      <c r="C95" s="37">
        <v>6.9604237659999999</v>
      </c>
    </row>
    <row r="96" spans="1:3" x14ac:dyDescent="0.35">
      <c r="A96" s="36">
        <v>42826</v>
      </c>
      <c r="B96" s="33" t="s">
        <v>7</v>
      </c>
      <c r="C96" s="37">
        <v>-1.659175981</v>
      </c>
    </row>
    <row r="97" spans="1:3" x14ac:dyDescent="0.35">
      <c r="A97" s="36">
        <v>42856</v>
      </c>
      <c r="B97" s="33" t="s">
        <v>7</v>
      </c>
      <c r="C97" s="37">
        <v>0.50581380799999998</v>
      </c>
    </row>
    <row r="98" spans="1:3" x14ac:dyDescent="0.35">
      <c r="A98" s="36">
        <v>42887</v>
      </c>
      <c r="B98" s="33" t="s">
        <v>7</v>
      </c>
      <c r="C98" s="37">
        <v>-2.4771792590000001</v>
      </c>
    </row>
    <row r="99" spans="1:3" x14ac:dyDescent="0.35">
      <c r="A99" s="36">
        <v>42917</v>
      </c>
      <c r="B99" s="33" t="s">
        <v>7</v>
      </c>
      <c r="C99" s="37">
        <v>0.18048076699999999</v>
      </c>
    </row>
    <row r="100" spans="1:3" x14ac:dyDescent="0.35">
      <c r="A100" s="36">
        <v>42948</v>
      </c>
      <c r="B100" s="33" t="s">
        <v>7</v>
      </c>
      <c r="C100" s="37">
        <v>9.7799571380000003</v>
      </c>
    </row>
    <row r="101" spans="1:3" x14ac:dyDescent="0.35">
      <c r="A101" s="36">
        <v>42979</v>
      </c>
      <c r="B101" s="33" t="s">
        <v>7</v>
      </c>
      <c r="C101" s="37">
        <v>1.357302558</v>
      </c>
    </row>
    <row r="102" spans="1:3" x14ac:dyDescent="0.35">
      <c r="A102" s="36">
        <v>43009</v>
      </c>
      <c r="B102" s="33" t="s">
        <v>7</v>
      </c>
      <c r="C102" s="37">
        <v>8.4690506400000007</v>
      </c>
    </row>
    <row r="103" spans="1:3" x14ac:dyDescent="0.35">
      <c r="A103" s="36">
        <v>43040</v>
      </c>
      <c r="B103" s="33" t="s">
        <v>7</v>
      </c>
      <c r="C103" s="37">
        <v>5.9338092260000002</v>
      </c>
    </row>
    <row r="104" spans="1:3" x14ac:dyDescent="0.35">
      <c r="A104" s="36">
        <v>43070</v>
      </c>
      <c r="B104" s="33" t="s">
        <v>7</v>
      </c>
      <c r="C104" s="37">
        <v>5.9990405080000002</v>
      </c>
    </row>
    <row r="105" spans="1:3" x14ac:dyDescent="0.35">
      <c r="A105" s="36">
        <v>43101</v>
      </c>
      <c r="B105" s="33" t="s">
        <v>7</v>
      </c>
      <c r="C105" s="37">
        <v>-9.2732663629999994</v>
      </c>
    </row>
    <row r="106" spans="1:3" x14ac:dyDescent="0.35">
      <c r="A106" s="36">
        <v>43132</v>
      </c>
      <c r="B106" s="33" t="s">
        <v>7</v>
      </c>
      <c r="C106" s="37">
        <v>-2.2109992460000001</v>
      </c>
    </row>
    <row r="107" spans="1:3" x14ac:dyDescent="0.35">
      <c r="A107" s="36">
        <v>43160</v>
      </c>
      <c r="B107" s="33" t="s">
        <v>7</v>
      </c>
      <c r="C107" s="37">
        <v>4.2716949780000002</v>
      </c>
    </row>
    <row r="108" spans="1:3" x14ac:dyDescent="0.35">
      <c r="A108" s="36">
        <v>43191</v>
      </c>
      <c r="B108" s="33" t="s">
        <v>7</v>
      </c>
      <c r="C108" s="37">
        <v>0.94696286399999996</v>
      </c>
    </row>
    <row r="109" spans="1:3" x14ac:dyDescent="0.35">
      <c r="A109" s="36">
        <v>43221</v>
      </c>
      <c r="B109" s="33" t="s">
        <v>7</v>
      </c>
      <c r="C109" s="37">
        <v>5.1687679219999998</v>
      </c>
    </row>
    <row r="110" spans="1:3" x14ac:dyDescent="0.35">
      <c r="A110" s="36">
        <v>43252</v>
      </c>
      <c r="B110" s="33" t="s">
        <v>7</v>
      </c>
      <c r="C110" s="37">
        <v>1.240398568</v>
      </c>
    </row>
    <row r="111" spans="1:3" x14ac:dyDescent="0.35">
      <c r="A111" s="36">
        <v>43282</v>
      </c>
      <c r="B111" s="33" t="s">
        <v>7</v>
      </c>
      <c r="C111" s="37">
        <v>1.6453932449999999</v>
      </c>
    </row>
    <row r="112" spans="1:3" x14ac:dyDescent="0.35">
      <c r="A112" s="36">
        <v>43313</v>
      </c>
      <c r="B112" s="33" t="s">
        <v>7</v>
      </c>
      <c r="C112" s="37">
        <v>3.7066467510000001</v>
      </c>
    </row>
    <row r="113" spans="1:3" x14ac:dyDescent="0.35">
      <c r="A113" s="36">
        <v>43344</v>
      </c>
      <c r="B113" s="33" t="s">
        <v>7</v>
      </c>
      <c r="C113" s="37">
        <v>-15.095342499999999</v>
      </c>
    </row>
    <row r="114" spans="1:3" x14ac:dyDescent="0.35">
      <c r="A114" s="36">
        <v>43374</v>
      </c>
      <c r="B114" s="33" t="s">
        <v>7</v>
      </c>
      <c r="C114" s="37">
        <v>2.5244457929999999</v>
      </c>
    </row>
    <row r="115" spans="1:3" x14ac:dyDescent="0.35">
      <c r="A115" s="36">
        <v>43405</v>
      </c>
      <c r="B115" s="33" t="s">
        <v>7</v>
      </c>
      <c r="C115" s="37">
        <v>-4.1438526549999999</v>
      </c>
    </row>
    <row r="116" spans="1:3" x14ac:dyDescent="0.35">
      <c r="A116" s="36">
        <v>43435</v>
      </c>
      <c r="B116" s="33" t="s">
        <v>7</v>
      </c>
      <c r="C116" s="37">
        <v>6.8152623270000001</v>
      </c>
    </row>
    <row r="117" spans="1:3" x14ac:dyDescent="0.35">
      <c r="A117" s="36">
        <v>43466</v>
      </c>
      <c r="B117" s="33" t="s">
        <v>7</v>
      </c>
      <c r="C117" s="37">
        <v>0.87723786500000001</v>
      </c>
    </row>
    <row r="118" spans="1:3" x14ac:dyDescent="0.35">
      <c r="A118" s="36">
        <v>43497</v>
      </c>
      <c r="B118" s="33" t="s">
        <v>7</v>
      </c>
      <c r="C118" s="37">
        <v>3.6458965079999999</v>
      </c>
    </row>
    <row r="119" spans="1:3" x14ac:dyDescent="0.35">
      <c r="A119" s="36">
        <v>43525</v>
      </c>
      <c r="B119" s="33" t="s">
        <v>7</v>
      </c>
      <c r="C119" s="37">
        <v>6.9450292569999998</v>
      </c>
    </row>
    <row r="120" spans="1:3" x14ac:dyDescent="0.35">
      <c r="A120" s="36">
        <v>43556</v>
      </c>
      <c r="B120" s="33" t="s">
        <v>7</v>
      </c>
      <c r="C120" s="37">
        <v>-6.7992034449999998</v>
      </c>
    </row>
    <row r="121" spans="1:3" x14ac:dyDescent="0.35">
      <c r="A121" s="36">
        <v>43586</v>
      </c>
      <c r="B121" s="33" t="s">
        <v>7</v>
      </c>
      <c r="C121" s="37">
        <v>9.5443657539999993</v>
      </c>
    </row>
    <row r="122" spans="1:3" x14ac:dyDescent="0.35">
      <c r="A122" s="36">
        <v>43617</v>
      </c>
      <c r="B122" s="33" t="s">
        <v>7</v>
      </c>
      <c r="C122" s="37">
        <v>3.4711253119999999</v>
      </c>
    </row>
    <row r="123" spans="1:3" x14ac:dyDescent="0.35">
      <c r="A123" s="36">
        <v>43647</v>
      </c>
      <c r="B123" s="33" t="s">
        <v>7</v>
      </c>
      <c r="C123" s="37">
        <v>6.6544955190000001</v>
      </c>
    </row>
    <row r="124" spans="1:3" x14ac:dyDescent="0.35">
      <c r="A124" s="36">
        <v>41821</v>
      </c>
      <c r="B124" s="33" t="s">
        <v>8</v>
      </c>
      <c r="C124" s="37">
        <v>2.6093741700000002</v>
      </c>
    </row>
    <row r="125" spans="1:3" x14ac:dyDescent="0.35">
      <c r="A125" s="36">
        <v>41852</v>
      </c>
      <c r="B125" s="33" t="s">
        <v>8</v>
      </c>
      <c r="C125" s="37">
        <v>1.9520356560000001</v>
      </c>
    </row>
    <row r="126" spans="1:3" x14ac:dyDescent="0.35">
      <c r="A126" s="36">
        <v>41883</v>
      </c>
      <c r="B126" s="33" t="s">
        <v>8</v>
      </c>
      <c r="C126" s="37">
        <v>-0.26156309599999999</v>
      </c>
    </row>
    <row r="127" spans="1:3" x14ac:dyDescent="0.35">
      <c r="A127" s="36">
        <v>41913</v>
      </c>
      <c r="B127" s="33" t="s">
        <v>8</v>
      </c>
      <c r="C127" s="37">
        <v>14.77649385</v>
      </c>
    </row>
    <row r="128" spans="1:3" x14ac:dyDescent="0.35">
      <c r="A128" s="36">
        <v>41944</v>
      </c>
      <c r="B128" s="33" t="s">
        <v>8</v>
      </c>
      <c r="C128" s="37">
        <v>-1.8963009559999999</v>
      </c>
    </row>
    <row r="129" spans="1:3" x14ac:dyDescent="0.35">
      <c r="A129" s="36">
        <v>41974</v>
      </c>
      <c r="B129" s="33" t="s">
        <v>8</v>
      </c>
      <c r="C129" s="37">
        <v>-0.49516729100000001</v>
      </c>
    </row>
    <row r="130" spans="1:3" x14ac:dyDescent="0.35">
      <c r="A130" s="36">
        <v>42005</v>
      </c>
      <c r="B130" s="33" t="s">
        <v>8</v>
      </c>
      <c r="C130" s="37">
        <v>-1.2355739960000001</v>
      </c>
    </row>
    <row r="131" spans="1:3" x14ac:dyDescent="0.35">
      <c r="A131" s="36">
        <v>42036</v>
      </c>
      <c r="B131" s="33" t="s">
        <v>8</v>
      </c>
      <c r="C131" s="37">
        <v>-2.0016537589999999</v>
      </c>
    </row>
    <row r="132" spans="1:3" x14ac:dyDescent="0.35">
      <c r="A132" s="36">
        <v>42064</v>
      </c>
      <c r="B132" s="33" t="s">
        <v>8</v>
      </c>
      <c r="C132" s="37">
        <v>-4.5364350890000003</v>
      </c>
    </row>
    <row r="133" spans="1:3" x14ac:dyDescent="0.35">
      <c r="A133" s="36">
        <v>42095</v>
      </c>
      <c r="B133" s="33" t="s">
        <v>8</v>
      </c>
      <c r="C133" s="37">
        <v>-4.8430370570000001</v>
      </c>
    </row>
    <row r="134" spans="1:3" x14ac:dyDescent="0.35">
      <c r="A134" s="36">
        <v>42125</v>
      </c>
      <c r="B134" s="33" t="s">
        <v>8</v>
      </c>
      <c r="C134" s="37">
        <v>-3.8943596029999998</v>
      </c>
    </row>
    <row r="135" spans="1:3" x14ac:dyDescent="0.35">
      <c r="A135" s="36">
        <v>42156</v>
      </c>
      <c r="B135" s="33" t="s">
        <v>8</v>
      </c>
      <c r="C135" s="37">
        <v>1.48033634</v>
      </c>
    </row>
    <row r="136" spans="1:3" x14ac:dyDescent="0.35">
      <c r="A136" s="36">
        <v>42186</v>
      </c>
      <c r="B136" s="33" t="s">
        <v>8</v>
      </c>
      <c r="C136" s="37">
        <v>-10.07223823</v>
      </c>
    </row>
    <row r="137" spans="1:3" x14ac:dyDescent="0.35">
      <c r="A137" s="36">
        <v>42217</v>
      </c>
      <c r="B137" s="33" t="s">
        <v>8</v>
      </c>
      <c r="C137" s="37">
        <v>0.85391805799999998</v>
      </c>
    </row>
    <row r="138" spans="1:3" x14ac:dyDescent="0.35">
      <c r="A138" s="36">
        <v>42248</v>
      </c>
      <c r="B138" s="33" t="s">
        <v>8</v>
      </c>
      <c r="C138" s="37">
        <v>-11.7211686</v>
      </c>
    </row>
    <row r="139" spans="1:3" x14ac:dyDescent="0.35">
      <c r="A139" s="36">
        <v>42278</v>
      </c>
      <c r="B139" s="33" t="s">
        <v>8</v>
      </c>
      <c r="C139" s="37">
        <v>2.7952608429999999</v>
      </c>
    </row>
    <row r="140" spans="1:3" x14ac:dyDescent="0.35">
      <c r="A140" s="36">
        <v>42309</v>
      </c>
      <c r="B140" s="33" t="s">
        <v>8</v>
      </c>
      <c r="C140" s="37">
        <v>4.1808103650000001</v>
      </c>
    </row>
    <row r="141" spans="1:3" x14ac:dyDescent="0.35">
      <c r="A141" s="36">
        <v>42339</v>
      </c>
      <c r="B141" s="33" t="s">
        <v>8</v>
      </c>
      <c r="C141" s="37">
        <v>9.1612498410000001</v>
      </c>
    </row>
    <row r="142" spans="1:3" x14ac:dyDescent="0.35">
      <c r="A142" s="36">
        <v>42370</v>
      </c>
      <c r="B142" s="33" t="s">
        <v>8</v>
      </c>
      <c r="C142" s="37">
        <v>-3.0142617999999999E-2</v>
      </c>
    </row>
    <row r="143" spans="1:3" x14ac:dyDescent="0.35">
      <c r="A143" s="36">
        <v>42401</v>
      </c>
      <c r="B143" s="33" t="s">
        <v>8</v>
      </c>
      <c r="C143" s="37">
        <v>3.2408807839999998</v>
      </c>
    </row>
    <row r="144" spans="1:3" x14ac:dyDescent="0.35">
      <c r="A144" s="36">
        <v>42430</v>
      </c>
      <c r="B144" s="33" t="s">
        <v>8</v>
      </c>
      <c r="C144" s="37">
        <v>-1.642499682</v>
      </c>
    </row>
    <row r="145" spans="1:3" x14ac:dyDescent="0.35">
      <c r="A145" s="36">
        <v>42461</v>
      </c>
      <c r="B145" s="33" t="s">
        <v>8</v>
      </c>
      <c r="C145" s="37">
        <v>5.8471237470000004</v>
      </c>
    </row>
    <row r="146" spans="1:3" x14ac:dyDescent="0.35">
      <c r="A146" s="36">
        <v>42491</v>
      </c>
      <c r="B146" s="33" t="s">
        <v>8</v>
      </c>
      <c r="C146" s="37">
        <v>3.9201044089999999</v>
      </c>
    </row>
    <row r="147" spans="1:3" x14ac:dyDescent="0.35">
      <c r="A147" s="36">
        <v>42522</v>
      </c>
      <c r="B147" s="33" t="s">
        <v>8</v>
      </c>
      <c r="C147" s="37">
        <v>-6.8488188000000005E-2</v>
      </c>
    </row>
    <row r="148" spans="1:3" x14ac:dyDescent="0.35">
      <c r="A148" s="36">
        <v>42552</v>
      </c>
      <c r="B148" s="33" t="s">
        <v>8</v>
      </c>
      <c r="C148" s="37">
        <v>-2.0967518119999999</v>
      </c>
    </row>
    <row r="149" spans="1:3" x14ac:dyDescent="0.35">
      <c r="A149" s="36">
        <v>42583</v>
      </c>
      <c r="B149" s="33" t="s">
        <v>8</v>
      </c>
      <c r="C149" s="37">
        <v>1.6429245139999999</v>
      </c>
    </row>
    <row r="150" spans="1:3" x14ac:dyDescent="0.35">
      <c r="A150" s="36">
        <v>42614</v>
      </c>
      <c r="B150" s="33" t="s">
        <v>8</v>
      </c>
      <c r="C150" s="37">
        <v>-2.9118138660000001</v>
      </c>
    </row>
    <row r="151" spans="1:3" x14ac:dyDescent="0.35">
      <c r="A151" s="36">
        <v>42644</v>
      </c>
      <c r="B151" s="33" t="s">
        <v>8</v>
      </c>
      <c r="C151" s="37">
        <v>0.585559037</v>
      </c>
    </row>
    <row r="152" spans="1:3" x14ac:dyDescent="0.35">
      <c r="A152" s="36">
        <v>42675</v>
      </c>
      <c r="B152" s="33" t="s">
        <v>8</v>
      </c>
      <c r="C152" s="37">
        <v>-1.8599992249999999</v>
      </c>
    </row>
    <row r="153" spans="1:3" x14ac:dyDescent="0.35">
      <c r="A153" s="36">
        <v>42705</v>
      </c>
      <c r="B153" s="33" t="s">
        <v>8</v>
      </c>
      <c r="C153" s="37">
        <v>-2.7522345580000001</v>
      </c>
    </row>
    <row r="154" spans="1:3" x14ac:dyDescent="0.35">
      <c r="A154" s="36">
        <v>42736</v>
      </c>
      <c r="B154" s="33" t="s">
        <v>8</v>
      </c>
      <c r="C154" s="37">
        <v>6.2781112490000002</v>
      </c>
    </row>
    <row r="155" spans="1:3" x14ac:dyDescent="0.35">
      <c r="A155" s="36">
        <v>42767</v>
      </c>
      <c r="B155" s="33" t="s">
        <v>8</v>
      </c>
      <c r="C155" s="37">
        <v>1.6212985449999999</v>
      </c>
    </row>
    <row r="156" spans="1:3" x14ac:dyDescent="0.35">
      <c r="A156" s="36">
        <v>42795</v>
      </c>
      <c r="B156" s="33" t="s">
        <v>8</v>
      </c>
      <c r="C156" s="37">
        <v>5.0676853370000003</v>
      </c>
    </row>
    <row r="157" spans="1:3" x14ac:dyDescent="0.35">
      <c r="A157" s="36">
        <v>42826</v>
      </c>
      <c r="B157" s="33" t="s">
        <v>8</v>
      </c>
      <c r="C157" s="37">
        <v>4.5491188459999998</v>
      </c>
    </row>
    <row r="158" spans="1:3" x14ac:dyDescent="0.35">
      <c r="A158" s="36">
        <v>42856</v>
      </c>
      <c r="B158" s="33" t="s">
        <v>8</v>
      </c>
      <c r="C158" s="37">
        <v>-3.070697112</v>
      </c>
    </row>
    <row r="159" spans="1:3" x14ac:dyDescent="0.35">
      <c r="A159" s="36">
        <v>42887</v>
      </c>
      <c r="B159" s="33" t="s">
        <v>8</v>
      </c>
      <c r="C159" s="37">
        <v>5.695040594</v>
      </c>
    </row>
    <row r="160" spans="1:3" x14ac:dyDescent="0.35">
      <c r="A160" s="36">
        <v>42917</v>
      </c>
      <c r="B160" s="33" t="s">
        <v>8</v>
      </c>
      <c r="C160" s="37">
        <v>-2.4003025629999999</v>
      </c>
    </row>
    <row r="161" spans="1:3" x14ac:dyDescent="0.35">
      <c r="A161" s="36">
        <v>42948</v>
      </c>
      <c r="B161" s="33" t="s">
        <v>8</v>
      </c>
      <c r="C161" s="37">
        <v>0.71923226699999998</v>
      </c>
    </row>
    <row r="162" spans="1:3" x14ac:dyDescent="0.35">
      <c r="A162" s="36">
        <v>42979</v>
      </c>
      <c r="B162" s="33" t="s">
        <v>8</v>
      </c>
      <c r="C162" s="37">
        <v>11.73534242</v>
      </c>
    </row>
    <row r="163" spans="1:3" x14ac:dyDescent="0.35">
      <c r="A163" s="36">
        <v>43009</v>
      </c>
      <c r="B163" s="33" t="s">
        <v>8</v>
      </c>
      <c r="C163" s="37">
        <v>11.361817909999999</v>
      </c>
    </row>
    <row r="164" spans="1:3" x14ac:dyDescent="0.35">
      <c r="A164" s="36">
        <v>43040</v>
      </c>
      <c r="B164" s="33" t="s">
        <v>8</v>
      </c>
      <c r="C164" s="37">
        <v>1.5633093549999999</v>
      </c>
    </row>
    <row r="165" spans="1:3" x14ac:dyDescent="0.35">
      <c r="A165" s="36">
        <v>43070</v>
      </c>
      <c r="B165" s="33" t="s">
        <v>8</v>
      </c>
      <c r="C165" s="37">
        <v>8.518278553</v>
      </c>
    </row>
    <row r="166" spans="1:3" x14ac:dyDescent="0.35">
      <c r="A166" s="36">
        <v>43101</v>
      </c>
      <c r="B166" s="33" t="s">
        <v>8</v>
      </c>
      <c r="C166" s="37">
        <v>-15.562839739999999</v>
      </c>
    </row>
    <row r="167" spans="1:3" x14ac:dyDescent="0.35">
      <c r="A167" s="36">
        <v>43132</v>
      </c>
      <c r="B167" s="33" t="s">
        <v>8</v>
      </c>
      <c r="C167" s="37">
        <v>-1.1554304529999999</v>
      </c>
    </row>
    <row r="168" spans="1:3" x14ac:dyDescent="0.35">
      <c r="A168" s="36">
        <v>43160</v>
      </c>
      <c r="B168" s="33" t="s">
        <v>8</v>
      </c>
      <c r="C168" s="37">
        <v>1.9536214999999999E-2</v>
      </c>
    </row>
    <row r="169" spans="1:3" x14ac:dyDescent="0.35">
      <c r="A169" s="36">
        <v>43191</v>
      </c>
      <c r="B169" s="33" t="s">
        <v>8</v>
      </c>
      <c r="C169" s="37">
        <v>-6.6922769799999999</v>
      </c>
    </row>
    <row r="170" spans="1:3" x14ac:dyDescent="0.35">
      <c r="A170" s="36">
        <v>43221</v>
      </c>
      <c r="B170" s="33" t="s">
        <v>8</v>
      </c>
      <c r="C170" s="37">
        <v>4.4216015520000003</v>
      </c>
    </row>
    <row r="171" spans="1:3" x14ac:dyDescent="0.35">
      <c r="A171" s="36">
        <v>43252</v>
      </c>
      <c r="B171" s="33" t="s">
        <v>8</v>
      </c>
      <c r="C171" s="37">
        <v>4.1797970229999999</v>
      </c>
    </row>
    <row r="172" spans="1:3" x14ac:dyDescent="0.35">
      <c r="A172" s="36">
        <v>43282</v>
      </c>
      <c r="B172" s="33" t="s">
        <v>8</v>
      </c>
      <c r="C172" s="37">
        <v>7.4302251960000003</v>
      </c>
    </row>
    <row r="173" spans="1:3" x14ac:dyDescent="0.35">
      <c r="A173" s="36">
        <v>43313</v>
      </c>
      <c r="B173" s="33" t="s">
        <v>8</v>
      </c>
      <c r="C173" s="37">
        <v>-1.465205818</v>
      </c>
    </row>
    <row r="174" spans="1:3" x14ac:dyDescent="0.35">
      <c r="A174" s="36">
        <v>43344</v>
      </c>
      <c r="B174" s="33" t="s">
        <v>8</v>
      </c>
      <c r="C174" s="37">
        <v>6.7830797519999999</v>
      </c>
    </row>
    <row r="175" spans="1:3" x14ac:dyDescent="0.35">
      <c r="A175" s="36">
        <v>43374</v>
      </c>
      <c r="B175" s="33" t="s">
        <v>8</v>
      </c>
      <c r="C175" s="37">
        <v>-2.622656369</v>
      </c>
    </row>
    <row r="176" spans="1:3" x14ac:dyDescent="0.35">
      <c r="A176" s="36">
        <v>43405</v>
      </c>
      <c r="B176" s="33" t="s">
        <v>8</v>
      </c>
      <c r="C176" s="37">
        <v>-4.6082943040000002</v>
      </c>
    </row>
    <row r="177" spans="1:3" x14ac:dyDescent="0.35">
      <c r="A177" s="36">
        <v>43435</v>
      </c>
      <c r="B177" s="33" t="s">
        <v>8</v>
      </c>
      <c r="C177" s="37">
        <v>3.438487184</v>
      </c>
    </row>
    <row r="178" spans="1:3" x14ac:dyDescent="0.35">
      <c r="A178" s="36">
        <v>43466</v>
      </c>
      <c r="B178" s="33" t="s">
        <v>8</v>
      </c>
      <c r="C178" s="37">
        <v>3.2974931160000001</v>
      </c>
    </row>
    <row r="179" spans="1:3" x14ac:dyDescent="0.35">
      <c r="A179" s="36">
        <v>43497</v>
      </c>
      <c r="B179" s="33" t="s">
        <v>8</v>
      </c>
      <c r="C179" s="37">
        <v>-1.474883232</v>
      </c>
    </row>
    <row r="180" spans="1:3" x14ac:dyDescent="0.35">
      <c r="A180" s="36">
        <v>43525</v>
      </c>
      <c r="B180" s="33" t="s">
        <v>8</v>
      </c>
      <c r="C180" s="37">
        <v>6.0118326519999998</v>
      </c>
    </row>
    <row r="181" spans="1:3" x14ac:dyDescent="0.35">
      <c r="A181" s="36">
        <v>43556</v>
      </c>
      <c r="B181" s="33" t="s">
        <v>8</v>
      </c>
      <c r="C181" s="37">
        <v>-1.361337271</v>
      </c>
    </row>
    <row r="182" spans="1:3" x14ac:dyDescent="0.35">
      <c r="A182" s="36">
        <v>43586</v>
      </c>
      <c r="B182" s="33" t="s">
        <v>8</v>
      </c>
      <c r="C182" s="37">
        <v>9.500146569</v>
      </c>
    </row>
    <row r="183" spans="1:3" x14ac:dyDescent="0.35">
      <c r="A183" s="36">
        <v>43617</v>
      </c>
      <c r="B183" s="33" t="s">
        <v>8</v>
      </c>
      <c r="C183" s="37">
        <v>-9.9554534E-2</v>
      </c>
    </row>
    <row r="184" spans="1:3" x14ac:dyDescent="0.35">
      <c r="A184" s="36">
        <v>43647</v>
      </c>
      <c r="B184" s="33" t="s">
        <v>8</v>
      </c>
      <c r="C184" s="37">
        <v>3.5151344930000001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G6" sqref="G6"/>
    </sheetView>
  </sheetViews>
  <sheetFormatPr defaultColWidth="11" defaultRowHeight="15.5" x14ac:dyDescent="0.35"/>
  <cols>
    <col min="1" max="1" width="20.58203125" customWidth="1"/>
    <col min="2" max="2" width="30.1640625" bestFit="1" customWidth="1"/>
  </cols>
  <sheetData>
    <row r="1" spans="1:5" x14ac:dyDescent="0.35">
      <c r="A1" s="1" t="s">
        <v>30</v>
      </c>
    </row>
    <row r="2" spans="1:5" ht="16" thickBot="1" x14ac:dyDescent="0.4"/>
    <row r="3" spans="1:5" x14ac:dyDescent="0.35">
      <c r="A3" s="1" t="s">
        <v>28</v>
      </c>
      <c r="B3" s="2"/>
      <c r="C3" s="19" t="s">
        <v>6</v>
      </c>
      <c r="D3" s="22" t="s">
        <v>7</v>
      </c>
      <c r="E3" s="23" t="s">
        <v>8</v>
      </c>
    </row>
    <row r="4" spans="1:5" x14ac:dyDescent="0.35">
      <c r="A4" s="1"/>
      <c r="B4" s="3" t="s">
        <v>25</v>
      </c>
      <c r="C4" s="35">
        <f>GETPIVOTDATA("Expected (or average) return",Data!$E$2,"stock","AMZN")</f>
        <v>3.2301824721147545</v>
      </c>
      <c r="D4" s="35">
        <f>GETPIVOTDATA("Expected (or average) return",Data!$E$2,"stock","HD")</f>
        <v>2.0356607382295073</v>
      </c>
      <c r="E4" s="42">
        <f>GETPIVOTDATA("Expected (or average) return",Data!$E$2,"stock","WMT")</f>
        <v>1.0806513842622953</v>
      </c>
    </row>
    <row r="5" spans="1:5" x14ac:dyDescent="0.35">
      <c r="A5" s="1"/>
      <c r="B5" s="3"/>
      <c r="C5" s="9"/>
      <c r="E5" s="20"/>
    </row>
    <row r="6" spans="1:5" x14ac:dyDescent="0.35">
      <c r="A6" s="1"/>
      <c r="B6" s="3" t="s">
        <v>23</v>
      </c>
      <c r="C6" s="24" t="s">
        <v>6</v>
      </c>
      <c r="D6" s="25" t="s">
        <v>7</v>
      </c>
      <c r="E6" s="26" t="s">
        <v>8</v>
      </c>
    </row>
    <row r="7" spans="1:5" x14ac:dyDescent="0.35">
      <c r="A7" s="1"/>
      <c r="B7" s="27" t="s">
        <v>6</v>
      </c>
      <c r="C7" s="13">
        <f>Data!F13</f>
        <v>70.554009398709169</v>
      </c>
      <c r="D7" s="13">
        <f>Data!G13</f>
        <v>18.399750462866709</v>
      </c>
      <c r="E7" s="43">
        <f>Data!H13</f>
        <v>4.9551239902312583</v>
      </c>
    </row>
    <row r="8" spans="1:5" x14ac:dyDescent="0.35">
      <c r="A8" s="1"/>
      <c r="B8" s="27" t="s">
        <v>7</v>
      </c>
      <c r="C8" s="13">
        <f>Data!F14</f>
        <v>18.399750462866709</v>
      </c>
      <c r="D8" s="13">
        <f>Data!G14</f>
        <v>27.680908518419763</v>
      </c>
      <c r="E8" s="43">
        <f>Data!H14</f>
        <v>5.2499854375394923</v>
      </c>
    </row>
    <row r="9" spans="1:5" x14ac:dyDescent="0.35">
      <c r="B9" s="27" t="s">
        <v>8</v>
      </c>
      <c r="C9" s="13">
        <f>Data!F15</f>
        <v>4.9551239902312583</v>
      </c>
      <c r="D9" s="13">
        <f>Data!G15</f>
        <v>5.2499854375394923</v>
      </c>
      <c r="E9" s="43">
        <f>Data!H15</f>
        <v>28.979489082276132</v>
      </c>
    </row>
    <row r="10" spans="1:5" x14ac:dyDescent="0.35">
      <c r="B10" s="3"/>
      <c r="C10" s="4"/>
      <c r="D10" s="4"/>
      <c r="E10" s="5"/>
    </row>
    <row r="11" spans="1:5" ht="16" thickBot="1" x14ac:dyDescent="0.4">
      <c r="A11" s="1"/>
      <c r="B11" s="6" t="s">
        <v>26</v>
      </c>
      <c r="C11" s="44">
        <v>2</v>
      </c>
      <c r="D11" s="21"/>
      <c r="E11" s="7"/>
    </row>
    <row r="12" spans="1:5" ht="16" thickBot="1" x14ac:dyDescent="0.4">
      <c r="C12" s="8"/>
      <c r="D12" s="8"/>
      <c r="E12" s="9"/>
    </row>
    <row r="13" spans="1:5" x14ac:dyDescent="0.35">
      <c r="A13" s="1" t="s">
        <v>0</v>
      </c>
      <c r="B13" s="2"/>
      <c r="C13" s="19" t="s">
        <v>6</v>
      </c>
      <c r="D13" s="22" t="s">
        <v>7</v>
      </c>
      <c r="E13" s="23" t="s">
        <v>8</v>
      </c>
    </row>
    <row r="14" spans="1:5" ht="16" thickBot="1" x14ac:dyDescent="0.4">
      <c r="B14" s="10" t="s">
        <v>32</v>
      </c>
      <c r="C14" s="45">
        <f>1/3</f>
        <v>0.33333333333333331</v>
      </c>
      <c r="D14" s="45">
        <f>1/3</f>
        <v>0.33333333333333331</v>
      </c>
      <c r="E14" s="46">
        <f>1/3</f>
        <v>0.33333333333333331</v>
      </c>
    </row>
    <row r="15" spans="1:5" ht="16" thickBot="1" x14ac:dyDescent="0.4">
      <c r="C15" s="8"/>
      <c r="D15" s="8"/>
    </row>
    <row r="16" spans="1:5" ht="16" thickBot="1" x14ac:dyDescent="0.4">
      <c r="A16" s="1" t="s">
        <v>29</v>
      </c>
      <c r="B16" s="11" t="s">
        <v>33</v>
      </c>
      <c r="C16" s="47">
        <f>SQRT((C14^2)*C7+(D14^2)*D8+(E14^2)*E9+2*C14*D14*D7+2*C14*E14*E7+2*D14*E14*E8)</f>
        <v>4.5267614960695441</v>
      </c>
      <c r="D16" s="12" t="s">
        <v>14</v>
      </c>
    </row>
    <row r="17" spans="1:5" ht="16" thickBot="1" x14ac:dyDescent="0.4">
      <c r="C17" s="13"/>
      <c r="D17" s="13"/>
      <c r="E17" s="13"/>
    </row>
    <row r="18" spans="1:5" x14ac:dyDescent="0.35">
      <c r="A18" s="1" t="s">
        <v>2</v>
      </c>
      <c r="B18" s="2"/>
      <c r="C18" s="14" t="s">
        <v>3</v>
      </c>
      <c r="D18" s="15"/>
      <c r="E18" s="16" t="s">
        <v>4</v>
      </c>
    </row>
    <row r="19" spans="1:5" x14ac:dyDescent="0.35">
      <c r="B19" s="3" t="s">
        <v>10</v>
      </c>
      <c r="C19" s="13">
        <f>SUM(C14:E14)</f>
        <v>1</v>
      </c>
      <c r="D19" s="28" t="s">
        <v>11</v>
      </c>
      <c r="E19" s="43">
        <v>1</v>
      </c>
    </row>
    <row r="20" spans="1:5" x14ac:dyDescent="0.35">
      <c r="B20" s="3" t="s">
        <v>35</v>
      </c>
      <c r="C20" s="35">
        <f>SUMPRODUCT(C4:E4,C14:E14)</f>
        <v>2.1154981982021854</v>
      </c>
      <c r="D20" s="13" t="s">
        <v>15</v>
      </c>
      <c r="E20" s="43">
        <f>C11</f>
        <v>2</v>
      </c>
    </row>
    <row r="21" spans="1:5" ht="16" thickBot="1" x14ac:dyDescent="0.4">
      <c r="B21" s="6" t="s">
        <v>5</v>
      </c>
      <c r="C21" s="17"/>
      <c r="D21" s="17"/>
      <c r="E21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21A9-DEB9-4E71-9E98-F5EF65C12AF8}">
  <dimension ref="A1:E21"/>
  <sheetViews>
    <sheetView workbookViewId="0">
      <selection activeCell="H17" sqref="H17"/>
    </sheetView>
  </sheetViews>
  <sheetFormatPr defaultColWidth="11" defaultRowHeight="15.5" x14ac:dyDescent="0.35"/>
  <cols>
    <col min="1" max="1" width="20.58203125" customWidth="1"/>
    <col min="2" max="2" width="30.1640625" bestFit="1" customWidth="1"/>
  </cols>
  <sheetData>
    <row r="1" spans="1:5" x14ac:dyDescent="0.35">
      <c r="A1" s="1" t="s">
        <v>31</v>
      </c>
    </row>
    <row r="2" spans="1:5" ht="16" thickBot="1" x14ac:dyDescent="0.4">
      <c r="A2" s="1"/>
    </row>
    <row r="3" spans="1:5" x14ac:dyDescent="0.35">
      <c r="A3" s="1" t="s">
        <v>28</v>
      </c>
      <c r="B3" s="2"/>
      <c r="C3" s="19" t="s">
        <v>6</v>
      </c>
      <c r="D3" s="22" t="s">
        <v>7</v>
      </c>
      <c r="E3" s="23" t="s">
        <v>8</v>
      </c>
    </row>
    <row r="4" spans="1:5" x14ac:dyDescent="0.35">
      <c r="A4" s="1"/>
      <c r="B4" s="3" t="s">
        <v>25</v>
      </c>
      <c r="C4" s="35">
        <f>GETPIVOTDATA("Expected (or average) return",Data!$E$2,"stock","AMZN")</f>
        <v>3.2301824721147545</v>
      </c>
      <c r="D4" s="35">
        <f>GETPIVOTDATA("Expected (or average) return",Data!$E$2,"stock","HD")</f>
        <v>2.0356607382295073</v>
      </c>
      <c r="E4" s="42">
        <f>GETPIVOTDATA("Expected (or average) return",Data!$E$2,"stock","WMT")</f>
        <v>1.0806513842622953</v>
      </c>
    </row>
    <row r="5" spans="1:5" x14ac:dyDescent="0.35">
      <c r="A5" s="1"/>
      <c r="B5" s="3"/>
      <c r="C5" s="9"/>
      <c r="E5" s="20"/>
    </row>
    <row r="6" spans="1:5" x14ac:dyDescent="0.35">
      <c r="A6" s="1"/>
      <c r="B6" s="3" t="s">
        <v>9</v>
      </c>
      <c r="C6" s="24" t="s">
        <v>6</v>
      </c>
      <c r="D6" s="25" t="s">
        <v>7</v>
      </c>
      <c r="E6" s="26" t="s">
        <v>8</v>
      </c>
    </row>
    <row r="7" spans="1:5" x14ac:dyDescent="0.35">
      <c r="A7" s="1"/>
      <c r="B7" s="27" t="s">
        <v>6</v>
      </c>
      <c r="C7" s="13">
        <f>Data!F13</f>
        <v>70.554009398709169</v>
      </c>
      <c r="D7" s="13">
        <f>Data!G13</f>
        <v>18.399750462866709</v>
      </c>
      <c r="E7" s="43">
        <f>Data!H13</f>
        <v>4.9551239902312583</v>
      </c>
    </row>
    <row r="8" spans="1:5" x14ac:dyDescent="0.35">
      <c r="A8" s="1"/>
      <c r="B8" s="27" t="s">
        <v>7</v>
      </c>
      <c r="C8" s="13">
        <f>Data!F14</f>
        <v>18.399750462866709</v>
      </c>
      <c r="D8" s="13">
        <f>Data!G14</f>
        <v>27.680908518419763</v>
      </c>
      <c r="E8" s="43">
        <f>Data!H14</f>
        <v>5.2499854375394923</v>
      </c>
    </row>
    <row r="9" spans="1:5" x14ac:dyDescent="0.35">
      <c r="B9" s="27" t="s">
        <v>8</v>
      </c>
      <c r="C9" s="13">
        <f>Data!F15</f>
        <v>4.9551239902312583</v>
      </c>
      <c r="D9" s="13">
        <f>Data!G15</f>
        <v>5.2499854375394923</v>
      </c>
      <c r="E9" s="43">
        <f>Data!H15</f>
        <v>28.979489082276132</v>
      </c>
    </row>
    <row r="10" spans="1:5" x14ac:dyDescent="0.35">
      <c r="B10" s="3"/>
      <c r="C10" s="4"/>
      <c r="D10" s="4"/>
      <c r="E10" s="5"/>
    </row>
    <row r="11" spans="1:5" ht="16" thickBot="1" x14ac:dyDescent="0.4">
      <c r="A11" s="1"/>
      <c r="B11" s="6" t="s">
        <v>27</v>
      </c>
      <c r="C11" s="44">
        <v>5</v>
      </c>
      <c r="D11" s="21"/>
      <c r="E11" s="7"/>
    </row>
    <row r="12" spans="1:5" ht="16" thickBot="1" x14ac:dyDescent="0.4">
      <c r="C12" s="8"/>
      <c r="D12" s="8"/>
      <c r="E12" s="9"/>
    </row>
    <row r="13" spans="1:5" x14ac:dyDescent="0.35">
      <c r="A13" s="1" t="s">
        <v>0</v>
      </c>
      <c r="B13" s="2"/>
      <c r="C13" s="19" t="s">
        <v>6</v>
      </c>
      <c r="D13" s="22" t="s">
        <v>7</v>
      </c>
      <c r="E13" s="23" t="s">
        <v>8</v>
      </c>
    </row>
    <row r="14" spans="1:5" ht="16" thickBot="1" x14ac:dyDescent="0.4">
      <c r="B14" s="10" t="s">
        <v>32</v>
      </c>
      <c r="C14" s="45">
        <f>1/3</f>
        <v>0.33333333333333331</v>
      </c>
      <c r="D14" s="45">
        <f>1/3</f>
        <v>0.33333333333333331</v>
      </c>
      <c r="E14" s="46">
        <f>1/3</f>
        <v>0.33333333333333331</v>
      </c>
    </row>
    <row r="15" spans="1:5" ht="16" thickBot="1" x14ac:dyDescent="0.4">
      <c r="C15" s="8"/>
      <c r="D15" s="8"/>
    </row>
    <row r="16" spans="1:5" ht="16" thickBot="1" x14ac:dyDescent="0.4">
      <c r="A16" s="1" t="s">
        <v>29</v>
      </c>
      <c r="B16" s="11" t="s">
        <v>34</v>
      </c>
      <c r="C16" s="48">
        <f>SUMPRODUCT(C4:E4,C14:E14)</f>
        <v>2.1154981982021854</v>
      </c>
      <c r="D16" s="12" t="s">
        <v>1</v>
      </c>
      <c r="E16" s="29"/>
    </row>
    <row r="17" spans="1:5" ht="16" thickBot="1" x14ac:dyDescent="0.4">
      <c r="C17" s="13"/>
      <c r="D17" s="13"/>
      <c r="E17" s="13"/>
    </row>
    <row r="18" spans="1:5" x14ac:dyDescent="0.35">
      <c r="A18" s="1" t="s">
        <v>2</v>
      </c>
      <c r="B18" s="2"/>
      <c r="C18" s="14" t="s">
        <v>3</v>
      </c>
      <c r="D18" s="15"/>
      <c r="E18" s="16" t="s">
        <v>4</v>
      </c>
    </row>
    <row r="19" spans="1:5" x14ac:dyDescent="0.35">
      <c r="B19" s="3" t="s">
        <v>10</v>
      </c>
      <c r="C19" s="13">
        <f>SUM(C14:E14)</f>
        <v>1</v>
      </c>
      <c r="D19" s="28" t="s">
        <v>11</v>
      </c>
      <c r="E19" s="43">
        <v>1</v>
      </c>
    </row>
    <row r="20" spans="1:5" x14ac:dyDescent="0.35">
      <c r="B20" s="3" t="s">
        <v>12</v>
      </c>
      <c r="C20" s="35">
        <f>SQRT((C14^2)*C7+(D14^2)*D8+(E14^2)*E9+2*C14*D14*D7+2*C14*E14*E7+2*D14*E14*E8)</f>
        <v>4.5267614960695441</v>
      </c>
      <c r="D20" s="13" t="s">
        <v>13</v>
      </c>
      <c r="E20" s="43">
        <f>C11</f>
        <v>5</v>
      </c>
    </row>
    <row r="21" spans="1:5" ht="16" thickBot="1" x14ac:dyDescent="0.4">
      <c r="B21" s="6" t="s">
        <v>5</v>
      </c>
      <c r="C21" s="17"/>
      <c r="D21" s="17"/>
      <c r="E2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Model A</vt:lpstr>
      <vt:lpstr>Model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Vielma</dc:creator>
  <cp:lastModifiedBy>Farahat, Amr</cp:lastModifiedBy>
  <dcterms:created xsi:type="dcterms:W3CDTF">2018-11-19T00:09:04Z</dcterms:created>
  <dcterms:modified xsi:type="dcterms:W3CDTF">2025-10-28T23:29:17Z</dcterms:modified>
</cp:coreProperties>
</file>