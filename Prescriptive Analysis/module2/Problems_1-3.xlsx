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Filez\Desktop\"/>
    </mc:Choice>
  </mc:AlternateContent>
  <xr:revisionPtr revIDLastSave="0" documentId="13_ncr:1_{A553F27D-CBCB-4E67-9098-2D01BBD349FA}" xr6:coauthVersionLast="47" xr6:coauthVersionMax="47" xr10:uidLastSave="{00000000-0000-0000-0000-000000000000}"/>
  <bookViews>
    <workbookView xWindow="-98" yWindow="-98" windowWidth="19095" windowHeight="12075" activeTab="3" xr2:uid="{00000000-000D-0000-FFFF-FFFF00000000}"/>
  </bookViews>
  <sheets>
    <sheet name="Sensitivity Report 1" sheetId="6" r:id="rId1"/>
    <sheet name="Problem 1" sheetId="3" r:id="rId2"/>
    <sheet name="Sensitivity Report 2" sheetId="7" r:id="rId3"/>
    <sheet name="Problem 2" sheetId="4" r:id="rId4"/>
    <sheet name="Problem 3" sheetId="5" r:id="rId5"/>
  </sheets>
  <definedNames>
    <definedName name="budget" localSheetId="3">#REF!</definedName>
    <definedName name="budget" localSheetId="4">#REF!</definedName>
    <definedName name="budget">#REF!</definedName>
    <definedName name="New_A" localSheetId="3">#REF!</definedName>
    <definedName name="New_A" localSheetId="4">#REF!</definedName>
    <definedName name="New_A">#REF!</definedName>
    <definedName name="New_C">#REF!</definedName>
    <definedName name="New_Type_A">#REF!</definedName>
    <definedName name="New_Type_C">#REF!</definedName>
    <definedName name="obj_val">#REF!</definedName>
    <definedName name="Old_C">#REF!</definedName>
    <definedName name="solver_adj" localSheetId="1" hidden="1">'Problem 1'!$C$13:$E$13</definedName>
    <definedName name="solver_adj" localSheetId="3" hidden="1">'Problem 2'!$C$13:$D$13</definedName>
    <definedName name="solver_adj" localSheetId="4" hidden="1">'Problem 3'!$C$13:$J$13</definedName>
    <definedName name="solver_adj_ob" localSheetId="1" hidden="1">1</definedName>
    <definedName name="solver_adj_ob" localSheetId="3" hidden="1">1</definedName>
    <definedName name="solver_adj_ob" localSheetId="4" hidden="1">1</definedName>
    <definedName name="solver_cha" localSheetId="1" hidden="1">0</definedName>
    <definedName name="solver_cha" localSheetId="3" hidden="1">0</definedName>
    <definedName name="solver_cha" localSheetId="4" hidden="1">0</definedName>
    <definedName name="solver_chc1" localSheetId="1" hidden="1">0</definedName>
    <definedName name="solver_chc1" localSheetId="3" hidden="1">0</definedName>
    <definedName name="solver_chc1" localSheetId="4" hidden="1">0</definedName>
    <definedName name="solver_chc2" localSheetId="1" hidden="1">0</definedName>
    <definedName name="solver_chc2" localSheetId="3" hidden="1">0</definedName>
    <definedName name="solver_chc2" localSheetId="4" hidden="1">0</definedName>
    <definedName name="solver_chc3" localSheetId="1" hidden="1">0</definedName>
    <definedName name="solver_chc3" localSheetId="3" hidden="1">0</definedName>
    <definedName name="solver_chc3" localSheetId="4" hidden="1">0</definedName>
    <definedName name="solver_chc4" localSheetId="1" hidden="1">0</definedName>
    <definedName name="solver_chc4" localSheetId="3" hidden="1">0</definedName>
    <definedName name="solver_chc4" localSheetId="4" hidden="1">0</definedName>
    <definedName name="solver_chn" localSheetId="1" hidden="1">4</definedName>
    <definedName name="solver_chn" localSheetId="3" hidden="1">4</definedName>
    <definedName name="solver_chn" localSheetId="4" hidden="1">4</definedName>
    <definedName name="solver_chp1" localSheetId="1" hidden="1">0</definedName>
    <definedName name="solver_chp1" localSheetId="3" hidden="1">0</definedName>
    <definedName name="solver_chp1" localSheetId="4" hidden="1">0</definedName>
    <definedName name="solver_chp2" localSheetId="1" hidden="1">0</definedName>
    <definedName name="solver_chp2" localSheetId="3" hidden="1">0</definedName>
    <definedName name="solver_chp2" localSheetId="4" hidden="1">0</definedName>
    <definedName name="solver_chp3" localSheetId="1" hidden="1">0</definedName>
    <definedName name="solver_chp3" localSheetId="3" hidden="1">0</definedName>
    <definedName name="solver_chp3" localSheetId="4" hidden="1">0</definedName>
    <definedName name="solver_chp4" localSheetId="1" hidden="1">0</definedName>
    <definedName name="solver_chp4" localSheetId="3" hidden="1">0</definedName>
    <definedName name="solver_chp4" localSheetId="4" hidden="1">0</definedName>
    <definedName name="solver_cht" localSheetId="1" hidden="1">0</definedName>
    <definedName name="solver_cht" localSheetId="3" hidden="1">0</definedName>
    <definedName name="solver_cht" localSheetId="4" hidden="1">0</definedName>
    <definedName name="solver_cir1" localSheetId="1" hidden="1">1</definedName>
    <definedName name="solver_cir1" localSheetId="3" hidden="1">1</definedName>
    <definedName name="solver_cir1" localSheetId="4" hidden="1">1</definedName>
    <definedName name="solver_cir2" localSheetId="1" hidden="1">1</definedName>
    <definedName name="solver_cir2" localSheetId="3" hidden="1">1</definedName>
    <definedName name="solver_cir2" localSheetId="4" hidden="1">1</definedName>
    <definedName name="solver_cir3" localSheetId="1" hidden="1">1</definedName>
    <definedName name="solver_cir3" localSheetId="3" hidden="1">1</definedName>
    <definedName name="solver_cir3" localSheetId="4" hidden="1">1</definedName>
    <definedName name="solver_cir4" localSheetId="1" hidden="1">1</definedName>
    <definedName name="solver_cir4" localSheetId="3" hidden="1">1</definedName>
    <definedName name="solver_cir4" localSheetId="4" hidden="1">1</definedName>
    <definedName name="solver_con" localSheetId="1" hidden="1">" "</definedName>
    <definedName name="solver_con" localSheetId="3" hidden="1">" "</definedName>
    <definedName name="solver_con" localSheetId="4" hidden="1">" "</definedName>
    <definedName name="solver_con1" localSheetId="1" hidden="1">"Assembly"</definedName>
    <definedName name="solver_con1" localSheetId="3" hidden="1">"Assembly"</definedName>
    <definedName name="solver_con1" localSheetId="4" hidden="1">"Assembly"</definedName>
    <definedName name="solver_con2" localSheetId="1" hidden="1">"Inspection"</definedName>
    <definedName name="solver_con2" localSheetId="3" hidden="1">"Inspection"</definedName>
    <definedName name="solver_con2" localSheetId="4" hidden="1">"Inspection"</definedName>
    <definedName name="solver_con3" localSheetId="1" hidden="1">"Sofa demand"</definedName>
    <definedName name="solver_con3" localSheetId="3" hidden="1">"Sofa demand"</definedName>
    <definedName name="solver_con3" localSheetId="4" hidden="1">"Sofa demand"</definedName>
    <definedName name="solver_con4" localSheetId="1" hidden="1">"Tables demand"</definedName>
    <definedName name="solver_con4" localSheetId="3" hidden="1">"Tables demand"</definedName>
    <definedName name="solver_con4" localSheetId="4" hidden="1">"Tables demand"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dia" localSheetId="1" hidden="1">5</definedName>
    <definedName name="solver_dia" localSheetId="3" hidden="1">5</definedName>
    <definedName name="solver_dia" localSheetId="4" hidden="1">5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eng" localSheetId="1" hidden="1">2</definedName>
    <definedName name="solver_eng" localSheetId="3" hidden="1">2</definedName>
    <definedName name="solver_eng" localSheetId="4" hidden="1">2</definedName>
    <definedName name="solver_est" localSheetId="1" hidden="1">1</definedName>
    <definedName name="solver_est" localSheetId="3" hidden="1">1</definedName>
    <definedName name="solver_est" localSheetId="4" hidden="1">1</definedName>
    <definedName name="solver_eval" hidden="1">0</definedName>
    <definedName name="solver_iao" localSheetId="1" hidden="1">0</definedName>
    <definedName name="solver_iao" localSheetId="3" hidden="1">0</definedName>
    <definedName name="solver_iao" localSheetId="4" hidden="1">0</definedName>
    <definedName name="solver_int" localSheetId="1" hidden="1">0</definedName>
    <definedName name="solver_int" localSheetId="3" hidden="1">0</definedName>
    <definedName name="solver_int" localSheetId="4" hidden="1">0</definedName>
    <definedName name="solver_irs" localSheetId="1" hidden="1">0</definedName>
    <definedName name="solver_irs" localSheetId="3" hidden="1">0</definedName>
    <definedName name="solver_irs" localSheetId="4" hidden="1">0</definedName>
    <definedName name="solver_ism" localSheetId="1" hidden="1">0</definedName>
    <definedName name="solver_ism" localSheetId="3" hidden="1">0</definedName>
    <definedName name="solver_ism" localSheetId="4" hidden="1">0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lhs_ob1" localSheetId="1" hidden="1">0</definedName>
    <definedName name="solver_lhs_ob1" localSheetId="3" hidden="1">0</definedName>
    <definedName name="solver_lhs_ob1" localSheetId="4" hidden="1">0</definedName>
    <definedName name="solver_lhs_ob2" localSheetId="1" hidden="1">0</definedName>
    <definedName name="solver_lhs_ob2" localSheetId="3" hidden="1">0</definedName>
    <definedName name="solver_lhs_ob2" localSheetId="4" hidden="1">0</definedName>
    <definedName name="solver_lhs_ob3" localSheetId="1" hidden="1">0</definedName>
    <definedName name="solver_lhs_ob3" localSheetId="3" hidden="1">0</definedName>
    <definedName name="solver_lhs_ob3" localSheetId="4" hidden="1">0</definedName>
    <definedName name="solver_lhs_ob4" localSheetId="1" hidden="1">0</definedName>
    <definedName name="solver_lhs_ob4" localSheetId="3" hidden="1">0</definedName>
    <definedName name="solver_lhs_ob4" localSheetId="4" hidden="1">0</definedName>
    <definedName name="solver_lhs1" localSheetId="1" hidden="1">'Problem 1'!$C$18</definedName>
    <definedName name="solver_lhs1" localSheetId="3" hidden="1">'Problem 2'!$C$18</definedName>
    <definedName name="solver_lhs1" localSheetId="4" hidden="1">'Problem 3'!$C$13:$J$13</definedName>
    <definedName name="solver_lhs2" localSheetId="1" hidden="1">'Problem 1'!$C$19</definedName>
    <definedName name="solver_lhs2" localSheetId="3" hidden="1">'Problem 2'!$C$19</definedName>
    <definedName name="solver_lhs2" localSheetId="4" hidden="1">'Problem 3'!$C$18</definedName>
    <definedName name="solver_lhs3" localSheetId="1" hidden="1">'Problem 1'!#REF!</definedName>
    <definedName name="solver_lhs3" localSheetId="3" hidden="1">'Problem 2'!$C$20</definedName>
    <definedName name="solver_lhs3" localSheetId="4" hidden="1">'Problem 3'!$C$19</definedName>
    <definedName name="solver_lhs4" localSheetId="1" hidden="1">'Problem 1'!#REF!</definedName>
    <definedName name="solver_lhs4" localSheetId="3" hidden="1">'Problem 2'!#REF!</definedName>
    <definedName name="solver_lhs4" localSheetId="4" hidden="1">'Problem 3'!$C$20</definedName>
    <definedName name="solver_lhs5" localSheetId="4" hidden="1">'Problem 3'!$C$21</definedName>
    <definedName name="solver_lhs6" localSheetId="4" hidden="1">'Problem 3'!$C$22</definedName>
    <definedName name="solver_lin" localSheetId="1" hidden="1">2</definedName>
    <definedName name="solver_lin" localSheetId="3" hidden="1">2</definedName>
    <definedName name="solver_lin" localSheetId="4" hidden="1">2</definedName>
    <definedName name="solver_mda" localSheetId="1" hidden="1">4</definedName>
    <definedName name="solver_mda" localSheetId="3" hidden="1">4</definedName>
    <definedName name="solver_mda" localSheetId="4" hidden="1">4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od" localSheetId="1" hidden="1">3</definedName>
    <definedName name="solver_mod" localSheetId="3" hidden="1">3</definedName>
    <definedName name="solver_mod" localSheetId="4" hidden="1">3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opt" localSheetId="1" hidden="1">1</definedName>
    <definedName name="solver_nopt" localSheetId="3" hidden="1">1</definedName>
    <definedName name="solver_nopt" localSheetId="4" hidden="1">1</definedName>
    <definedName name="solver_ntr" localSheetId="1" hidden="1">0</definedName>
    <definedName name="solver_ntr" localSheetId="3" hidden="1">0</definedName>
    <definedName name="solver_ntr" localSheetId="4" hidden="1">0</definedName>
    <definedName name="solver_ntri" hidden="1">1000</definedName>
    <definedName name="solver_num" localSheetId="1" hidden="1">2</definedName>
    <definedName name="solver_num" localSheetId="3" hidden="1">3</definedName>
    <definedName name="solver_num" localSheetId="4" hidden="1">6</definedName>
    <definedName name="solver_nwt" localSheetId="1" hidden="1">1</definedName>
    <definedName name="solver_nwt" localSheetId="3" hidden="1">1</definedName>
    <definedName name="solver_nwt" localSheetId="4" hidden="1">1</definedName>
    <definedName name="solver_obc" localSheetId="1" hidden="1">0</definedName>
    <definedName name="solver_obc" localSheetId="3" hidden="1">0</definedName>
    <definedName name="solver_obc" localSheetId="4" hidden="1">0</definedName>
    <definedName name="solver_obp" localSheetId="1" hidden="1">0</definedName>
    <definedName name="solver_obp" localSheetId="3" hidden="1">0</definedName>
    <definedName name="solver_obp" localSheetId="4" hidden="1">0</definedName>
    <definedName name="solver_opt" localSheetId="1" hidden="1">'Problem 1'!$C$15</definedName>
    <definedName name="solver_opt" localSheetId="3" hidden="1">'Problem 2'!$C$15</definedName>
    <definedName name="solver_opt" localSheetId="4" hidden="1">'Problem 3'!$C$15</definedName>
    <definedName name="solver_opt_ob" localSheetId="1" hidden="1">1</definedName>
    <definedName name="solver_opt_ob" localSheetId="3" hidden="1">1</definedName>
    <definedName name="solver_opt_ob" localSheetId="4" hidden="1">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si" localSheetId="1" hidden="1">0</definedName>
    <definedName name="solver_psi" localSheetId="3" hidden="1">0</definedName>
    <definedName name="solver_psi" localSheetId="4" hidden="1">0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dp" localSheetId="1" hidden="1">0</definedName>
    <definedName name="solver_rdp" localSheetId="3" hidden="1">0</definedName>
    <definedName name="solver_rdp" localSheetId="4" hidden="1">0</definedName>
    <definedName name="solver_rel1" localSheetId="1" hidden="1">1</definedName>
    <definedName name="solver_rel1" localSheetId="3" hidden="1">1</definedName>
    <definedName name="solver_rel1" localSheetId="4" hidden="1">1</definedName>
    <definedName name="solver_rel2" localSheetId="1" hidden="1">1</definedName>
    <definedName name="solver_rel2" localSheetId="3" hidden="1">1</definedName>
    <definedName name="solver_rel2" localSheetId="4" hidden="1">1</definedName>
    <definedName name="solver_rel3" localSheetId="1" hidden="1">1</definedName>
    <definedName name="solver_rel3" localSheetId="3" hidden="1">1</definedName>
    <definedName name="solver_rel3" localSheetId="4" hidden="1">1</definedName>
    <definedName name="solver_rel4" localSheetId="1" hidden="1">1</definedName>
    <definedName name="solver_rel4" localSheetId="3" hidden="1">1</definedName>
    <definedName name="solver_rel4" localSheetId="4" hidden="1">1</definedName>
    <definedName name="solver_rel5" localSheetId="4" hidden="1">1</definedName>
    <definedName name="solver_rel6" localSheetId="4" hidden="1">1</definedName>
    <definedName name="solver_rhs1" localSheetId="1" hidden="1">'Problem 1'!$E$18</definedName>
    <definedName name="solver_rhs1" localSheetId="3" hidden="1">'Problem 2'!$E$18</definedName>
    <definedName name="solver_rhs1" localSheetId="4" hidden="1">'Problem 3'!$E$23</definedName>
    <definedName name="solver_rhs2" localSheetId="1" hidden="1">'Problem 1'!$E$19</definedName>
    <definedName name="solver_rhs2" localSheetId="3" hidden="1">'Problem 2'!$E$19</definedName>
    <definedName name="solver_rhs2" localSheetId="4" hidden="1">'Problem 3'!$E$18</definedName>
    <definedName name="solver_rhs3" localSheetId="1" hidden="1">'Problem 1'!#REF!</definedName>
    <definedName name="solver_rhs3" localSheetId="3" hidden="1">'Problem 2'!$E$20</definedName>
    <definedName name="solver_rhs3" localSheetId="4" hidden="1">'Problem 3'!$E$19</definedName>
    <definedName name="solver_rhs4" localSheetId="1" hidden="1">'Problem 1'!#REF!</definedName>
    <definedName name="solver_rhs4" localSheetId="3" hidden="1">'Problem 2'!#REF!</definedName>
    <definedName name="solver_rhs4" localSheetId="4" hidden="1">'Problem 3'!$E$20</definedName>
    <definedName name="solver_rhs5" localSheetId="4" hidden="1">'Problem 3'!$E$21</definedName>
    <definedName name="solver_rhs6" localSheetId="4" hidden="1">'Problem 3'!$E$22</definedName>
    <definedName name="solver_rlx" localSheetId="1" hidden="1">2</definedName>
    <definedName name="solver_rlx" localSheetId="3" hidden="1">2</definedName>
    <definedName name="solver_rlx" localSheetId="4" hidden="1">2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rsmp" hidden="1">2</definedName>
    <definedName name="solver_rtr" localSheetId="1" hidden="1">0</definedName>
    <definedName name="solver_rtr" localSheetId="3" hidden="1">0</definedName>
    <definedName name="solver_rtr" localSheetId="4" hidden="1">0</definedName>
    <definedName name="solver_rxc1" localSheetId="1" hidden="1">1</definedName>
    <definedName name="solver_rxc1" localSheetId="3" hidden="1">1</definedName>
    <definedName name="solver_rxc1" localSheetId="4" hidden="1">1</definedName>
    <definedName name="solver_rxc2" localSheetId="1" hidden="1">1</definedName>
    <definedName name="solver_rxc2" localSheetId="3" hidden="1">1</definedName>
    <definedName name="solver_rxc2" localSheetId="4" hidden="1">1</definedName>
    <definedName name="solver_rxc3" localSheetId="1" hidden="1">1</definedName>
    <definedName name="solver_rxc3" localSheetId="3" hidden="1">1</definedName>
    <definedName name="solver_rxc3" localSheetId="4" hidden="1">1</definedName>
    <definedName name="solver_rxc4" localSheetId="1" hidden="1">1</definedName>
    <definedName name="solver_rxc4" localSheetId="3" hidden="1">1</definedName>
    <definedName name="solver_rxc4" localSheetId="4" hidden="1">1</definedName>
    <definedName name="solver_rxv" localSheetId="1" hidden="1">1</definedName>
    <definedName name="solver_rxv" localSheetId="3" hidden="1">1</definedName>
    <definedName name="solver_rxv" localSheetId="4" hidden="1">1</definedName>
    <definedName name="solver_scl" localSheetId="1" hidden="1">1</definedName>
    <definedName name="solver_scl" localSheetId="3" hidden="1">1</definedName>
    <definedName name="solver_scl" localSheetId="4" hidden="1">1</definedName>
    <definedName name="solver_seed" hidden="1">0</definedName>
    <definedName name="solver_sel" localSheetId="1" hidden="1">1</definedName>
    <definedName name="solver_sel" localSheetId="3" hidden="1">1</definedName>
    <definedName name="solver_sel" localSheetId="4" hidden="1">1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lv" localSheetId="1" hidden="1">0</definedName>
    <definedName name="solver_slv" localSheetId="3" hidden="1">0</definedName>
    <definedName name="solver_slv" localSheetId="4" hidden="1">0</definedName>
    <definedName name="solver_slvu" localSheetId="1" hidden="1">0</definedName>
    <definedName name="solver_slvu" localSheetId="3" hidden="1">0</definedName>
    <definedName name="solver_slvu" localSheetId="4" hidden="1">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yp" localSheetId="1" hidden="1">1</definedName>
    <definedName name="solver_typ" localSheetId="3" hidden="1">1</definedName>
    <definedName name="solver_typ" localSheetId="4" hidden="1">2</definedName>
    <definedName name="solver_umod" localSheetId="1" hidden="1">1</definedName>
    <definedName name="solver_umod" localSheetId="3" hidden="1">1</definedName>
    <definedName name="solver_umod" localSheetId="4" hidden="1">1</definedName>
    <definedName name="solver_urs" localSheetId="1" hidden="1">0</definedName>
    <definedName name="solver_urs" localSheetId="3" hidden="1">0</definedName>
    <definedName name="solver_urs" localSheetId="4" hidden="1">0</definedName>
    <definedName name="solver_userid" localSheetId="1" hidden="1">" "</definedName>
    <definedName name="solver_userid" localSheetId="3" hidden="1">" "</definedName>
    <definedName name="solver_userid" localSheetId="4" hidden="1">" "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r" localSheetId="1" hidden="1">" "</definedName>
    <definedName name="solver_var" localSheetId="3" hidden="1">" "</definedName>
    <definedName name="solver_var" localSheetId="4" hidden="1">" "</definedName>
    <definedName name="solver_ver" localSheetId="1" hidden="1">3</definedName>
    <definedName name="solver_ver" localSheetId="3" hidden="1">3</definedName>
    <definedName name="solver_ver" localSheetId="4" hidden="1">3</definedName>
    <definedName name="solver_vir" localSheetId="1" hidden="1">1</definedName>
    <definedName name="solver_vir" localSheetId="3" hidden="1">1</definedName>
    <definedName name="solver_vir" localSheetId="4" hidden="1">1</definedName>
    <definedName name="solver_vol" localSheetId="1" hidden="1">0</definedName>
    <definedName name="solver_vol" localSheetId="3" hidden="1">0</definedName>
    <definedName name="solver_vol" localSheetId="4" hidden="1">0</definedName>
    <definedName name="solver_vst" localSheetId="1" hidden="1">0</definedName>
    <definedName name="solver_vst" localSheetId="3" hidden="1">0</definedName>
    <definedName name="solver_vst" localSheetId="4" hidden="1">0</definedName>
    <definedName name="utilization_factor">#REF!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5" l="1"/>
  <c r="C22" i="5"/>
  <c r="C20" i="5"/>
  <c r="C19" i="5"/>
  <c r="C18" i="5"/>
  <c r="C15" i="5"/>
  <c r="C20" i="4"/>
  <c r="C19" i="4"/>
  <c r="C18" i="4"/>
  <c r="C15" i="4"/>
  <c r="C19" i="3"/>
  <c r="C15" i="3"/>
  <c r="C18" i="3"/>
  <c r="E19" i="3"/>
  <c r="E18" i="3"/>
</calcChain>
</file>

<file path=xl/sharedStrings.xml><?xml version="1.0" encoding="utf-8"?>
<sst xmlns="http://schemas.openxmlformats.org/spreadsheetml/2006/main" count="183" uniqueCount="106">
  <si>
    <t>&lt;=</t>
  </si>
  <si>
    <t>CONSTRAINTS</t>
  </si>
  <si>
    <t>LHS</t>
  </si>
  <si>
    <t>RHS</t>
  </si>
  <si>
    <t>DECISIONS VARIABLES</t>
  </si>
  <si>
    <t>maximize</t>
  </si>
  <si>
    <t>PARAMETERS</t>
  </si>
  <si>
    <t>(nonnegativity)</t>
  </si>
  <si>
    <t>OBJECTIVE FUNCTION</t>
  </si>
  <si>
    <t>Quantity [boxes]</t>
  </si>
  <si>
    <t>Value</t>
  </si>
  <si>
    <t>Regular</t>
  </si>
  <si>
    <t>Delux</t>
  </si>
  <si>
    <t>Weight per piece [kg]</t>
  </si>
  <si>
    <t>Profit per box [$]</t>
  </si>
  <si>
    <t>Pieces per box</t>
  </si>
  <si>
    <t>Labor time per box [minutes]</t>
  </si>
  <si>
    <t>Allowable weight [kg]</t>
  </si>
  <si>
    <t>Total labor time available [hours]</t>
  </si>
  <si>
    <t>(time)</t>
  </si>
  <si>
    <t>(weight)</t>
  </si>
  <si>
    <t>Profit [$]</t>
  </si>
  <si>
    <t>PROBLEM 1 - STL Chocolatier</t>
  </si>
  <si>
    <t>CLAYTON BREWERY</t>
  </si>
  <si>
    <t>Raw material required [Ibs per barrel]</t>
  </si>
  <si>
    <t>Amount available [Ibs]</t>
  </si>
  <si>
    <t>Ale</t>
  </si>
  <si>
    <t>Beer</t>
  </si>
  <si>
    <t>Corn</t>
  </si>
  <si>
    <t>Hops</t>
  </si>
  <si>
    <t>Malt</t>
  </si>
  <si>
    <t>Profit [$ per barrel]</t>
  </si>
  <si>
    <t>Daily production level [barrels]</t>
  </si>
  <si>
    <t>(Corn resource)</t>
  </si>
  <si>
    <t>(Hopps resource)</t>
  </si>
  <si>
    <t>(Malt resource)</t>
  </si>
  <si>
    <t>CAR TRANSPORT</t>
  </si>
  <si>
    <t>Transp. Cost [$/car]</t>
  </si>
  <si>
    <t>Capacity</t>
  </si>
  <si>
    <t>From node</t>
  </si>
  <si>
    <t>To node</t>
  </si>
  <si>
    <t>Shipping Quantity [cars]</t>
  </si>
  <si>
    <t>minimize</t>
  </si>
  <si>
    <t>(Node 1 net outflow)</t>
  </si>
  <si>
    <t>(Node 2 net outflow)</t>
  </si>
  <si>
    <t>(Node 3 net outflow)</t>
  </si>
  <si>
    <t>(Node 4 net outflow)</t>
  </si>
  <si>
    <t>(Node 5 net outflow)</t>
  </si>
  <si>
    <t>(Arc capacity)</t>
  </si>
  <si>
    <t>Microsoft Excel 16.0 Sensitivity Report</t>
  </si>
  <si>
    <t>Worksheet: [Problems_1-3_template.xlsx]Problem 1</t>
  </si>
  <si>
    <t>Report Created: 2025/11/9 12:46:59</t>
  </si>
  <si>
    <t>Variable Cells</t>
  </si>
  <si>
    <t>Cell</t>
  </si>
  <si>
    <t>Name</t>
  </si>
  <si>
    <t>Final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</si>
  <si>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</si>
  <si>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</si>
  <si>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</si>
  <si>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</si>
  <si>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</si>
  <si>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</si>
  <si>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</si>
  <si>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</si>
  <si>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</si>
  <si>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</si>
  <si>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</si>
  <si>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</si>
  <si>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$C$13</t>
  </si>
  <si>
    <t>Quantity [boxes] Value</t>
  </si>
  <si>
    <t>$D$13</t>
  </si>
  <si>
    <t>Quantity [boxes] Regular</t>
  </si>
  <si>
    <t>$E$13</t>
  </si>
  <si>
    <t>Quantity [boxes] Delux</t>
  </si>
  <si>
    <t>$C$18</t>
  </si>
  <si>
    <t>(time) LHS</t>
  </si>
  <si>
    <t>$C$19</t>
  </si>
  <si>
    <t>(weight) LHS</t>
  </si>
  <si>
    <t>My Answer</t>
    <phoneticPr fontId="3" type="noConversion"/>
  </si>
  <si>
    <t>b.</t>
    <phoneticPr fontId="3" type="noConversion"/>
  </si>
  <si>
    <t>Active constraints:Time</t>
    <phoneticPr fontId="3" type="noConversion"/>
  </si>
  <si>
    <t>c.</t>
    <phoneticPr fontId="3" type="noConversion"/>
  </si>
  <si>
    <t>d.</t>
    <phoneticPr fontId="3" type="noConversion"/>
  </si>
  <si>
    <t>The Weight constraint is not binding, so an extra unit of weight does not increase the objective; therefore the shadow price (dual value) is 0</t>
    <phoneticPr fontId="3" type="noConversion"/>
  </si>
  <si>
    <t>Addition profit: $16.5*(39-36) = $49.5, which is greater than the additional cost $40, so they should take advantage of this</t>
    <phoneticPr fontId="3" type="noConversion"/>
  </si>
  <si>
    <t>e.</t>
    <phoneticPr fontId="3" type="noConversion"/>
  </si>
  <si>
    <t xml:space="preserve">Not always zero. </t>
    <phoneticPr fontId="3" type="noConversion"/>
  </si>
  <si>
    <t xml:space="preserve">For a maximization problem with ≤ resource constraints and nonnegativity, shadow prices are typically ≥ 0 (extra resource cannot hurt). </t>
    <phoneticPr fontId="3" type="noConversion"/>
  </si>
  <si>
    <t>But with ≥ constraints or minimization problems the sign can flip.</t>
  </si>
  <si>
    <t>Worksheet: [Problems_1-3_template.xlsx]Problem 2</t>
  </si>
  <si>
    <t>Report Created: 2025/11/9 13:02:02</t>
  </si>
  <si>
    <t>Daily production level [barrels] Ale</t>
  </si>
  <si>
    <t>Daily production level [barrels] Beer</t>
  </si>
  <si>
    <t>(Corn resource) LHS</t>
  </si>
  <si>
    <t>(Hopps resource) LHS</t>
  </si>
  <si>
    <t>$C$20</t>
  </si>
  <si>
    <t>(Malt resource) LHS</t>
  </si>
  <si>
    <t>Corn resource, Hopps resource are binding, Malt resource is not binding</t>
    <phoneticPr fontId="3" type="noConversion"/>
  </si>
  <si>
    <t>The shadow price of Hopps is in column E16, which is smaller than the price $1.40 per ounce, so they shouldn't buy more</t>
    <phoneticPr fontId="3" type="noConversion"/>
  </si>
  <si>
    <t>f.</t>
    <phoneticPr fontId="3" type="noConversion"/>
  </si>
  <si>
    <t>Because the shadow price is 0 and the 190 pounds decrease is in allowable decrease, so no change in the optimal production plan and profit</t>
    <phoneticPr fontId="3" type="noConversion"/>
  </si>
  <si>
    <t>C13:J13</t>
    <phoneticPr fontId="3" type="noConversion"/>
  </si>
  <si>
    <t>a.</t>
    <phoneticPr fontId="3" type="noConversion"/>
  </si>
  <si>
    <t>See sheet 'Problem 2'</t>
    <phoneticPr fontId="3" type="noConversion"/>
  </si>
  <si>
    <t>See sheet 'Problem 1'</t>
    <phoneticPr fontId="3" type="noConversion"/>
  </si>
  <si>
    <t>Here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</si>
</sst>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1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u/>
      <sz val="11"/>
      <color theme="1"/>
      <name val="Microsoft YaHei UI"/>
      <family val="2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indexed="18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6666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8" fillId="0" borderId="13" xfId="0" applyFont="1" applyFill="1" applyBorder="1" applyAlignment="1"/>
    <xf numFmtId="0" fontId="8" fillId="0" borderId="14" xfId="0" applyFont="1" applyFill="1" applyBorder="1" applyAlignment="1"/>
    <xf numFmtId="0" fontId="10" fillId="0" borderId="0" xfId="0" applyFont="1"/>
    <xf numFmtId="0" fontId="11" fillId="0" borderId="0" xfId="0" applyFont="1" applyAlignment="1">
      <alignment horizontal="left"/>
    </xf>
    <xf numFmtId="0" fontId="8" fillId="0" borderId="1" xfId="0" applyFont="1" applyBorder="1"/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0" xfId="0" applyFont="1" applyAlignment="1">
      <alignment horizontal="center"/>
    </xf>
    <xf numFmtId="0" fontId="8" fillId="0" borderId="7" xfId="0" applyFont="1" applyBorder="1"/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7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" fontId="8" fillId="0" borderId="8" xfId="1" applyNumberFormat="1" applyFont="1" applyFill="1" applyBorder="1" applyAlignment="1">
      <alignment horizontal="center"/>
    </xf>
    <xf numFmtId="1" fontId="8" fillId="0" borderId="4" xfId="1" applyNumberFormat="1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4" fontId="8" fillId="0" borderId="0" xfId="0" applyNumberFormat="1" applyFont="1"/>
    <xf numFmtId="0" fontId="7" fillId="0" borderId="3" xfId="0" applyFont="1" applyBorder="1" applyAlignment="1">
      <alignment horizontal="left"/>
    </xf>
    <xf numFmtId="1" fontId="13" fillId="0" borderId="8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0" fontId="7" fillId="0" borderId="9" xfId="0" applyFont="1" applyBorder="1"/>
    <xf numFmtId="176" fontId="14" fillId="0" borderId="10" xfId="1" applyNumberFormat="1" applyFont="1" applyFill="1" applyBorder="1" applyAlignment="1">
      <alignment horizontal="center"/>
    </xf>
    <xf numFmtId="0" fontId="12" fillId="0" borderId="0" xfId="0" applyFont="1"/>
    <xf numFmtId="176" fontId="8" fillId="0" borderId="0" xfId="0" applyNumberFormat="1" applyFont="1"/>
    <xf numFmtId="3" fontId="8" fillId="0" borderId="0" xfId="0" applyNumberFormat="1" applyFont="1"/>
    <xf numFmtId="4" fontId="7" fillId="0" borderId="5" xfId="0" applyNumberFormat="1" applyFont="1" applyBorder="1" applyAlignment="1">
      <alignment horizontal="center"/>
    </xf>
    <xf numFmtId="4" fontId="8" fillId="0" borderId="5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4" fontId="8" fillId="0" borderId="8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0" fontId="8" fillId="0" borderId="0" xfId="0" applyFont="1" applyBorder="1"/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1" fontId="13" fillId="0" borderId="0" xfId="0" applyNumberFormat="1" applyFont="1" applyBorder="1" applyAlignment="1">
      <alignment horizontal="center"/>
    </xf>
    <xf numFmtId="0" fontId="12" fillId="0" borderId="6" xfId="0" applyFont="1" applyBorder="1"/>
    <xf numFmtId="177" fontId="8" fillId="0" borderId="0" xfId="0" applyNumberFormat="1" applyFont="1" applyAlignment="1">
      <alignment horizontal="center"/>
    </xf>
    <xf numFmtId="177" fontId="8" fillId="0" borderId="7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8" xfId="0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1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66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7B0E-9D10-4C23-8B99-8E3599A2ED61}">
  <dimension ref="A1:H29"/>
  <sheetViews>
    <sheetView showGridLines="0" topLeftCell="A10" workbookViewId="0">
      <selection activeCell="D28" sqref="D28"/>
    </sheetView>
  </sheetViews>
  <sheetFormatPr defaultRowHeight="13.5" x14ac:dyDescent="0.3"/>
  <cols>
    <col min="1" max="1" width="2.1328125" customWidth="1"/>
    <col min="2" max="2" width="6.06640625" bestFit="1" customWidth="1"/>
    <col min="3" max="3" width="26" bestFit="1" customWidth="1"/>
    <col min="4" max="4" width="6.3984375" bestFit="1" customWidth="1"/>
    <col min="5" max="5" width="8.53125" bestFit="1" customWidth="1"/>
    <col min="6" max="6" width="13" bestFit="1" customWidth="1"/>
    <col min="7" max="7" width="12.19921875" bestFit="1" customWidth="1"/>
    <col min="8" max="8" width="10.73046875" bestFit="1" customWidth="1"/>
  </cols>
  <sheetData>
    <row r="1" spans="1:8" ht="14.25" x14ac:dyDescent="0.4">
      <c r="A1" s="4" t="s">
        <v>49</v>
      </c>
      <c r="B1" s="5"/>
      <c r="C1" s="5"/>
      <c r="D1" s="5"/>
      <c r="E1" s="5"/>
      <c r="F1" s="5"/>
      <c r="G1" s="5"/>
      <c r="H1" s="5"/>
    </row>
    <row r="2" spans="1:8" ht="14.25" x14ac:dyDescent="0.4">
      <c r="A2" s="4" t="s">
        <v>50</v>
      </c>
      <c r="B2" s="5"/>
      <c r="C2" s="5"/>
      <c r="D2" s="5"/>
      <c r="E2" s="5"/>
      <c r="F2" s="5"/>
      <c r="G2" s="5"/>
      <c r="H2" s="5"/>
    </row>
    <row r="3" spans="1:8" ht="14.25" x14ac:dyDescent="0.4">
      <c r="A3" s="4" t="s">
        <v>51</v>
      </c>
      <c r="B3" s="5"/>
      <c r="C3" s="5"/>
      <c r="D3" s="5"/>
      <c r="E3" s="5"/>
      <c r="F3" s="5"/>
      <c r="G3" s="5"/>
      <c r="H3" s="5"/>
    </row>
    <row r="4" spans="1:8" ht="14.25" x14ac:dyDescent="0.4">
      <c r="A4" s="5"/>
      <c r="B4" s="5"/>
      <c r="C4" s="5"/>
      <c r="D4" s="5"/>
      <c r="E4" s="5"/>
      <c r="F4" s="5"/>
      <c r="G4" s="5"/>
      <c r="H4" s="5"/>
    </row>
    <row r="5" spans="1:8" ht="14.25" x14ac:dyDescent="0.4">
      <c r="A5" s="5"/>
      <c r="B5" s="5"/>
      <c r="C5" s="5"/>
      <c r="D5" s="5"/>
      <c r="E5" s="5"/>
      <c r="F5" s="5"/>
      <c r="G5" s="5"/>
      <c r="H5" s="5"/>
    </row>
    <row r="6" spans="1:8" ht="14.65" thickBot="1" x14ac:dyDescent="0.45">
      <c r="A6" s="5" t="s">
        <v>52</v>
      </c>
      <c r="B6" s="5"/>
      <c r="C6" s="5"/>
      <c r="D6" s="5"/>
      <c r="E6" s="5"/>
      <c r="F6" s="5"/>
      <c r="G6" s="5"/>
      <c r="H6" s="5"/>
    </row>
    <row r="7" spans="1:8" ht="14.25" x14ac:dyDescent="0.4">
      <c r="A7" s="5"/>
      <c r="B7" s="6"/>
      <c r="C7" s="6"/>
      <c r="D7" s="6" t="s">
        <v>55</v>
      </c>
      <c r="E7" s="6" t="s">
        <v>56</v>
      </c>
      <c r="F7" s="6" t="s">
        <v>58</v>
      </c>
      <c r="G7" s="6" t="s">
        <v>60</v>
      </c>
      <c r="H7" s="6" t="s">
        <v>60</v>
      </c>
    </row>
    <row r="8" spans="1:8" ht="14.65" thickBot="1" x14ac:dyDescent="0.45">
      <c r="A8" s="5"/>
      <c r="B8" s="7" t="s">
        <v>53</v>
      </c>
      <c r="C8" s="7" t="s">
        <v>54</v>
      </c>
      <c r="D8" s="7" t="s">
        <v>10</v>
      </c>
      <c r="E8" s="7" t="s">
        <v>57</v>
      </c>
      <c r="F8" s="7" t="s">
        <v>59</v>
      </c>
      <c r="G8" s="7" t="s">
        <v>61</v>
      </c>
      <c r="H8" s="7" t="s">
        <v>62</v>
      </c>
    </row>
    <row r="9" spans="1:8" ht="14.25" x14ac:dyDescent="0.4">
      <c r="A9" s="5"/>
      <c r="B9" s="8" t="s">
        <v>68</v>
      </c>
      <c r="C9" s="8" t="s">
        <v>69</v>
      </c>
      <c r="D9" s="8">
        <v>0</v>
      </c>
      <c r="E9" s="8">
        <v>-0.22500000000000009</v>
      </c>
      <c r="F9" s="8">
        <v>0.6</v>
      </c>
      <c r="G9" s="8">
        <v>0.22500000000000009</v>
      </c>
      <c r="H9" s="8">
        <v>1E+30</v>
      </c>
    </row>
    <row r="10" spans="1:8" ht="14.25" x14ac:dyDescent="0.4">
      <c r="A10" s="5"/>
      <c r="B10" s="8" t="s">
        <v>70</v>
      </c>
      <c r="C10" s="8" t="s">
        <v>71</v>
      </c>
      <c r="D10" s="8">
        <v>540</v>
      </c>
      <c r="E10" s="8">
        <v>0</v>
      </c>
      <c r="F10" s="8">
        <v>1.1000000000000001</v>
      </c>
      <c r="G10" s="8">
        <v>1E+30</v>
      </c>
      <c r="H10" s="8">
        <v>0.10000000000000009</v>
      </c>
    </row>
    <row r="11" spans="1:8" ht="14.65" thickBot="1" x14ac:dyDescent="0.45">
      <c r="A11" s="5"/>
      <c r="B11" s="9" t="s">
        <v>72</v>
      </c>
      <c r="C11" s="9" t="s">
        <v>73</v>
      </c>
      <c r="D11" s="9">
        <v>0</v>
      </c>
      <c r="E11" s="9">
        <v>-0.30000000000000027</v>
      </c>
      <c r="F11" s="9">
        <v>3</v>
      </c>
      <c r="G11" s="9">
        <v>0.30000000000000027</v>
      </c>
      <c r="H11" s="9">
        <v>1E+30</v>
      </c>
    </row>
    <row r="12" spans="1:8" ht="14.25" x14ac:dyDescent="0.4">
      <c r="A12" s="5"/>
      <c r="B12" s="5"/>
      <c r="C12" s="5"/>
      <c r="D12" s="5"/>
      <c r="E12" s="5"/>
      <c r="F12" s="5"/>
      <c r="G12" s="5"/>
      <c r="H12" s="5"/>
    </row>
    <row r="13" spans="1:8" ht="14.65" thickBot="1" x14ac:dyDescent="0.45">
      <c r="A13" s="5" t="s">
        <v>63</v>
      </c>
      <c r="B13" s="5"/>
      <c r="C13" s="5"/>
      <c r="D13" s="5"/>
      <c r="E13" s="5"/>
      <c r="F13" s="5"/>
      <c r="G13" s="5"/>
      <c r="H13" s="5"/>
    </row>
    <row r="14" spans="1:8" ht="14.25" x14ac:dyDescent="0.4">
      <c r="A14" s="5"/>
      <c r="B14" s="6"/>
      <c r="C14" s="6"/>
      <c r="D14" s="6" t="s">
        <v>55</v>
      </c>
      <c r="E14" s="6" t="s">
        <v>64</v>
      </c>
      <c r="F14" s="6" t="s">
        <v>66</v>
      </c>
      <c r="G14" s="6" t="s">
        <v>60</v>
      </c>
      <c r="H14" s="6" t="s">
        <v>60</v>
      </c>
    </row>
    <row r="15" spans="1:8" ht="14.65" thickBot="1" x14ac:dyDescent="0.45">
      <c r="A15" s="5"/>
      <c r="B15" s="7" t="s">
        <v>53</v>
      </c>
      <c r="C15" s="7" t="s">
        <v>54</v>
      </c>
      <c r="D15" s="7" t="s">
        <v>10</v>
      </c>
      <c r="E15" s="7" t="s">
        <v>65</v>
      </c>
      <c r="F15" s="7" t="s">
        <v>67</v>
      </c>
      <c r="G15" s="7" t="s">
        <v>61</v>
      </c>
      <c r="H15" s="7" t="s">
        <v>62</v>
      </c>
    </row>
    <row r="16" spans="1:8" ht="14.25" x14ac:dyDescent="0.4">
      <c r="A16" s="5"/>
      <c r="B16" s="8" t="s">
        <v>74</v>
      </c>
      <c r="C16" s="8" t="s">
        <v>75</v>
      </c>
      <c r="D16" s="8">
        <v>36</v>
      </c>
      <c r="E16" s="8">
        <v>16.5</v>
      </c>
      <c r="F16" s="8">
        <v>36</v>
      </c>
      <c r="G16" s="8">
        <v>12.611111111111112</v>
      </c>
      <c r="H16" s="8">
        <v>36</v>
      </c>
    </row>
    <row r="17" spans="1:8" ht="14.65" thickBot="1" x14ac:dyDescent="0.45">
      <c r="A17" s="5"/>
      <c r="B17" s="9" t="s">
        <v>76</v>
      </c>
      <c r="C17" s="9" t="s">
        <v>77</v>
      </c>
      <c r="D17" s="9">
        <v>259.2</v>
      </c>
      <c r="E17" s="9">
        <v>0</v>
      </c>
      <c r="F17" s="9">
        <v>350</v>
      </c>
      <c r="G17" s="9">
        <v>1E+30</v>
      </c>
      <c r="H17" s="9">
        <v>90.8</v>
      </c>
    </row>
    <row r="20" spans="1:8" ht="15.75" x14ac:dyDescent="0.55000000000000004">
      <c r="B20" s="1" t="s">
        <v>78</v>
      </c>
      <c r="C20" s="2"/>
      <c r="D20" s="2"/>
      <c r="E20" s="2"/>
      <c r="F20" s="2"/>
      <c r="G20" s="2"/>
    </row>
    <row r="21" spans="1:8" ht="15" x14ac:dyDescent="0.5">
      <c r="B21" s="2" t="s">
        <v>102</v>
      </c>
      <c r="C21" s="2" t="s">
        <v>104</v>
      </c>
      <c r="D21" s="2"/>
      <c r="E21" s="2"/>
      <c r="F21" s="2"/>
      <c r="G21" s="2"/>
    </row>
    <row r="22" spans="1:8" ht="15" x14ac:dyDescent="0.5">
      <c r="C22" s="54"/>
      <c r="D22" s="55" t="s">
        <v>10</v>
      </c>
      <c r="E22" s="55" t="s">
        <v>11</v>
      </c>
      <c r="F22" s="55" t="s">
        <v>12</v>
      </c>
      <c r="G22" s="2"/>
    </row>
    <row r="23" spans="1:8" ht="15" x14ac:dyDescent="0.5">
      <c r="B23" s="2"/>
      <c r="C23" s="56" t="s">
        <v>9</v>
      </c>
      <c r="D23" s="57">
        <v>0</v>
      </c>
      <c r="E23" s="57">
        <v>540</v>
      </c>
      <c r="F23" s="57">
        <v>0</v>
      </c>
      <c r="G23" s="2"/>
    </row>
    <row r="24" spans="1:8" ht="15" x14ac:dyDescent="0.5">
      <c r="B24" s="2" t="s">
        <v>79</v>
      </c>
      <c r="C24" s="2" t="s">
        <v>80</v>
      </c>
      <c r="D24" s="2"/>
      <c r="E24" s="2"/>
      <c r="F24" s="2"/>
      <c r="G24" s="2"/>
    </row>
    <row r="25" spans="1:8" ht="15" x14ac:dyDescent="0.5">
      <c r="B25" s="2" t="s">
        <v>81</v>
      </c>
      <c r="C25" s="2" t="s">
        <v>83</v>
      </c>
      <c r="D25" s="2"/>
      <c r="E25" s="2"/>
      <c r="F25" s="2"/>
      <c r="G25" s="2"/>
    </row>
    <row r="26" spans="1:8" ht="15" x14ac:dyDescent="0.5">
      <c r="B26" s="2" t="s">
        <v>82</v>
      </c>
      <c r="C26" s="2" t="s">
        <v>84</v>
      </c>
      <c r="D26" s="2"/>
      <c r="E26" s="2"/>
      <c r="F26" s="2"/>
      <c r="G26" s="2"/>
    </row>
    <row r="27" spans="1:8" ht="15" x14ac:dyDescent="0.5">
      <c r="B27" s="2" t="s">
        <v>85</v>
      </c>
      <c r="C27" s="3" t="s">
        <v>86</v>
      </c>
      <c r="D27" s="2"/>
      <c r="E27" s="2"/>
      <c r="F27" s="2"/>
      <c r="G27" s="2"/>
    </row>
    <row r="28" spans="1:8" ht="15" x14ac:dyDescent="0.5">
      <c r="B28" s="2"/>
      <c r="C28" s="2" t="s">
        <v>87</v>
      </c>
      <c r="D28" s="2"/>
      <c r="E28" s="2"/>
      <c r="F28" s="2"/>
      <c r="G28" s="2"/>
    </row>
    <row r="29" spans="1:8" ht="15" x14ac:dyDescent="0.5">
      <c r="B29" s="2"/>
      <c r="C29" s="2" t="s">
        <v>88</v>
      </c>
      <c r="D29" s="2"/>
      <c r="E29" s="2"/>
      <c r="F29" s="2"/>
      <c r="G29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L20"/>
  <sheetViews>
    <sheetView showGridLines="0" zoomScale="120" zoomScaleNormal="120" zoomScalePageLayoutView="110" workbookViewId="0">
      <selection activeCell="B12" sqref="B12:E13"/>
    </sheetView>
  </sheetViews>
  <sheetFormatPr defaultColWidth="8.796875" defaultRowHeight="13.9" x14ac:dyDescent="0.4"/>
  <cols>
    <col min="1" max="1" width="21" style="5" customWidth="1"/>
    <col min="2" max="2" width="31.46484375" style="5" customWidth="1"/>
    <col min="3" max="3" width="14.33203125" style="5" bestFit="1" customWidth="1"/>
    <col min="4" max="4" width="14.33203125" style="5" customWidth="1"/>
    <col min="5" max="5" width="11.46484375" style="5" bestFit="1" customWidth="1"/>
    <col min="6" max="6" width="5.59765625" style="5" customWidth="1"/>
    <col min="7" max="7" width="10.59765625" style="5" bestFit="1" customWidth="1"/>
    <col min="8" max="8" width="12.59765625" style="5" bestFit="1" customWidth="1"/>
    <col min="9" max="16384" width="8.796875" style="5"/>
  </cols>
  <sheetData>
    <row r="1" spans="1:12" x14ac:dyDescent="0.4">
      <c r="A1" s="10" t="s">
        <v>22</v>
      </c>
      <c r="B1" s="11"/>
    </row>
    <row r="2" spans="1:12" ht="14.25" thickBot="1" x14ac:dyDescent="0.45"/>
    <row r="3" spans="1:12" x14ac:dyDescent="0.4">
      <c r="A3" s="4" t="s">
        <v>6</v>
      </c>
      <c r="B3" s="12"/>
      <c r="C3" s="13"/>
      <c r="D3" s="14"/>
      <c r="E3" s="15"/>
    </row>
    <row r="4" spans="1:12" x14ac:dyDescent="0.4">
      <c r="A4" s="4"/>
      <c r="B4" s="16" t="s">
        <v>17</v>
      </c>
      <c r="C4" s="17">
        <v>350</v>
      </c>
      <c r="E4" s="18"/>
    </row>
    <row r="5" spans="1:12" x14ac:dyDescent="0.4">
      <c r="A5" s="4"/>
      <c r="B5" s="16" t="s">
        <v>18</v>
      </c>
      <c r="C5" s="17">
        <v>36</v>
      </c>
      <c r="E5" s="18"/>
    </row>
    <row r="6" spans="1:12" x14ac:dyDescent="0.4">
      <c r="A6" s="4"/>
      <c r="B6" s="16"/>
      <c r="C6" s="19" t="s">
        <v>10</v>
      </c>
      <c r="D6" s="19" t="s">
        <v>11</v>
      </c>
      <c r="E6" s="20" t="s">
        <v>12</v>
      </c>
    </row>
    <row r="7" spans="1:12" x14ac:dyDescent="0.4">
      <c r="B7" s="16" t="s">
        <v>13</v>
      </c>
      <c r="C7" s="21">
        <v>0.09</v>
      </c>
      <c r="D7" s="21">
        <v>0.12</v>
      </c>
      <c r="E7" s="22">
        <v>0.2</v>
      </c>
      <c r="F7" s="19"/>
    </row>
    <row r="8" spans="1:12" x14ac:dyDescent="0.4">
      <c r="B8" s="16" t="s">
        <v>14</v>
      </c>
      <c r="C8" s="21">
        <v>0.6</v>
      </c>
      <c r="D8" s="21">
        <v>1.1000000000000001</v>
      </c>
      <c r="E8" s="22">
        <v>3</v>
      </c>
      <c r="F8" s="19"/>
    </row>
    <row r="9" spans="1:12" x14ac:dyDescent="0.4">
      <c r="B9" s="16" t="s">
        <v>15</v>
      </c>
      <c r="C9" s="23">
        <v>8</v>
      </c>
      <c r="D9" s="23">
        <v>4</v>
      </c>
      <c r="E9" s="24">
        <v>6</v>
      </c>
      <c r="F9" s="17"/>
    </row>
    <row r="10" spans="1:12" ht="14.25" thickBot="1" x14ac:dyDescent="0.45">
      <c r="A10" s="4"/>
      <c r="B10" s="25" t="s">
        <v>16</v>
      </c>
      <c r="C10" s="26">
        <v>3</v>
      </c>
      <c r="D10" s="26">
        <v>4</v>
      </c>
      <c r="E10" s="27">
        <v>12</v>
      </c>
      <c r="F10" s="28"/>
    </row>
    <row r="11" spans="1:12" ht="14.25" thickBot="1" x14ac:dyDescent="0.45">
      <c r="C11" s="29"/>
      <c r="D11" s="29"/>
      <c r="E11" s="17"/>
      <c r="F11" s="17"/>
    </row>
    <row r="12" spans="1:12" x14ac:dyDescent="0.4">
      <c r="A12" s="4" t="s">
        <v>4</v>
      </c>
      <c r="B12" s="12"/>
      <c r="C12" s="30" t="s">
        <v>10</v>
      </c>
      <c r="D12" s="30" t="s">
        <v>11</v>
      </c>
      <c r="E12" s="31" t="s">
        <v>12</v>
      </c>
      <c r="F12" s="32"/>
      <c r="G12" s="33"/>
    </row>
    <row r="13" spans="1:12" ht="14.25" thickBot="1" x14ac:dyDescent="0.45">
      <c r="B13" s="34" t="s">
        <v>9</v>
      </c>
      <c r="C13" s="35">
        <v>0</v>
      </c>
      <c r="D13" s="35">
        <v>540</v>
      </c>
      <c r="E13" s="36">
        <v>0</v>
      </c>
      <c r="F13" s="32"/>
      <c r="G13" s="33"/>
    </row>
    <row r="14" spans="1:12" ht="14.25" thickBot="1" x14ac:dyDescent="0.45">
      <c r="C14" s="29"/>
      <c r="D14" s="29"/>
      <c r="G14" s="33"/>
    </row>
    <row r="15" spans="1:12" ht="14.25" thickBot="1" x14ac:dyDescent="0.45">
      <c r="A15" s="4" t="s">
        <v>8</v>
      </c>
      <c r="B15" s="37" t="s">
        <v>21</v>
      </c>
      <c r="C15" s="38">
        <f>SUMPRODUCT(C13:E13,C8:E8)</f>
        <v>594</v>
      </c>
      <c r="D15" s="39" t="s">
        <v>5</v>
      </c>
      <c r="G15" s="33"/>
      <c r="H15" s="40"/>
      <c r="J15" s="41"/>
      <c r="L15" s="41"/>
    </row>
    <row r="16" spans="1:12" ht="14.25" thickBot="1" x14ac:dyDescent="0.45">
      <c r="C16" s="32"/>
      <c r="D16" s="32"/>
      <c r="E16" s="32"/>
      <c r="F16" s="32"/>
      <c r="G16" s="33"/>
    </row>
    <row r="17" spans="1:6" x14ac:dyDescent="0.4">
      <c r="A17" s="4" t="s">
        <v>1</v>
      </c>
      <c r="B17" s="12"/>
      <c r="C17" s="42" t="s">
        <v>2</v>
      </c>
      <c r="D17" s="43"/>
      <c r="E17" s="44" t="s">
        <v>3</v>
      </c>
      <c r="F17" s="33"/>
    </row>
    <row r="18" spans="1:6" x14ac:dyDescent="0.4">
      <c r="B18" s="16" t="s">
        <v>19</v>
      </c>
      <c r="C18" s="32">
        <f>SUMPRODUCT(C13:E13,C10:E10)/60</f>
        <v>36</v>
      </c>
      <c r="D18" s="32" t="s">
        <v>0</v>
      </c>
      <c r="E18" s="45">
        <f>C5</f>
        <v>36</v>
      </c>
      <c r="F18" s="33"/>
    </row>
    <row r="19" spans="1:6" x14ac:dyDescent="0.4">
      <c r="B19" s="16" t="s">
        <v>20</v>
      </c>
      <c r="C19" s="32">
        <f>SUMPRODUCT(C13:E13,C7:E7,C9:E9)</f>
        <v>259.2</v>
      </c>
      <c r="D19" s="32" t="s">
        <v>0</v>
      </c>
      <c r="E19" s="45">
        <f>C4</f>
        <v>350</v>
      </c>
      <c r="F19" s="33"/>
    </row>
    <row r="20" spans="1:6" ht="14.25" thickBot="1" x14ac:dyDescent="0.45">
      <c r="B20" s="25" t="s">
        <v>7</v>
      </c>
      <c r="C20" s="46"/>
      <c r="D20" s="46"/>
      <c r="E20" s="47"/>
    </row>
  </sheetData>
  <phoneticPr fontId="2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FA1B-F187-4A8B-9B2D-58511103839F}">
  <dimension ref="A1:H25"/>
  <sheetViews>
    <sheetView showGridLines="0" workbookViewId="0">
      <selection activeCell="G23" sqref="G23"/>
    </sheetView>
  </sheetViews>
  <sheetFormatPr defaultRowHeight="13.9" x14ac:dyDescent="0.4"/>
  <cols>
    <col min="1" max="1" width="2.1328125" style="5" customWidth="1"/>
    <col min="2" max="2" width="6.06640625" style="5" bestFit="1" customWidth="1"/>
    <col min="3" max="3" width="39.73046875" style="5" bestFit="1" customWidth="1"/>
    <col min="4" max="5" width="12.19921875" style="5" bestFit="1" customWidth="1"/>
    <col min="6" max="6" width="13" style="5" bestFit="1" customWidth="1"/>
    <col min="7" max="8" width="12.19921875" style="5" bestFit="1" customWidth="1"/>
    <col min="9" max="16384" width="9.06640625" style="5"/>
  </cols>
  <sheetData>
    <row r="1" spans="1:8" x14ac:dyDescent="0.4">
      <c r="A1" s="4" t="s">
        <v>49</v>
      </c>
    </row>
    <row r="2" spans="1:8" x14ac:dyDescent="0.4">
      <c r="A2" s="4" t="s">
        <v>89</v>
      </c>
    </row>
    <row r="3" spans="1:8" x14ac:dyDescent="0.4">
      <c r="A3" s="4" t="s">
        <v>90</v>
      </c>
    </row>
    <row r="6" spans="1:8" ht="14.25" thickBot="1" x14ac:dyDescent="0.45">
      <c r="A6" s="5" t="s">
        <v>52</v>
      </c>
    </row>
    <row r="7" spans="1:8" x14ac:dyDescent="0.4">
      <c r="B7" s="6"/>
      <c r="C7" s="6"/>
      <c r="D7" s="6" t="s">
        <v>55</v>
      </c>
      <c r="E7" s="6" t="s">
        <v>56</v>
      </c>
      <c r="F7" s="6" t="s">
        <v>58</v>
      </c>
      <c r="G7" s="6" t="s">
        <v>60</v>
      </c>
      <c r="H7" s="6" t="s">
        <v>60</v>
      </c>
    </row>
    <row r="8" spans="1:8" ht="14.25" thickBot="1" x14ac:dyDescent="0.45">
      <c r="B8" s="7" t="s">
        <v>53</v>
      </c>
      <c r="C8" s="7" t="s">
        <v>54</v>
      </c>
      <c r="D8" s="7" t="s">
        <v>10</v>
      </c>
      <c r="E8" s="7" t="s">
        <v>57</v>
      </c>
      <c r="F8" s="7" t="s">
        <v>59</v>
      </c>
      <c r="G8" s="7" t="s">
        <v>61</v>
      </c>
      <c r="H8" s="7" t="s">
        <v>62</v>
      </c>
    </row>
    <row r="9" spans="1:8" x14ac:dyDescent="0.4">
      <c r="B9" s="8" t="s">
        <v>68</v>
      </c>
      <c r="C9" s="8" t="s">
        <v>91</v>
      </c>
      <c r="D9" s="8">
        <v>11.521739130434785</v>
      </c>
      <c r="E9" s="8">
        <v>0</v>
      </c>
      <c r="F9" s="8">
        <v>15</v>
      </c>
      <c r="G9" s="8">
        <v>16.25</v>
      </c>
      <c r="H9" s="8">
        <v>4.2857142857142865</v>
      </c>
    </row>
    <row r="10" spans="1:8" ht="14.25" thickBot="1" x14ac:dyDescent="0.45">
      <c r="B10" s="9" t="s">
        <v>70</v>
      </c>
      <c r="C10" s="9" t="s">
        <v>92</v>
      </c>
      <c r="D10" s="9">
        <v>29.34782608695652</v>
      </c>
      <c r="E10" s="9">
        <v>0</v>
      </c>
      <c r="F10" s="9">
        <v>25</v>
      </c>
      <c r="G10" s="9">
        <v>10.000000000000002</v>
      </c>
      <c r="H10" s="9">
        <v>13</v>
      </c>
    </row>
    <row r="12" spans="1:8" ht="14.25" thickBot="1" x14ac:dyDescent="0.45">
      <c r="A12" s="5" t="s">
        <v>63</v>
      </c>
    </row>
    <row r="13" spans="1:8" x14ac:dyDescent="0.4">
      <c r="B13" s="6"/>
      <c r="C13" s="6"/>
      <c r="D13" s="6" t="s">
        <v>55</v>
      </c>
      <c r="E13" s="6" t="s">
        <v>64</v>
      </c>
      <c r="F13" s="6" t="s">
        <v>66</v>
      </c>
      <c r="G13" s="6" t="s">
        <v>60</v>
      </c>
      <c r="H13" s="6" t="s">
        <v>60</v>
      </c>
    </row>
    <row r="14" spans="1:8" ht="14.25" thickBot="1" x14ac:dyDescent="0.45">
      <c r="B14" s="7" t="s">
        <v>53</v>
      </c>
      <c r="C14" s="7" t="s">
        <v>54</v>
      </c>
      <c r="D14" s="7" t="s">
        <v>10</v>
      </c>
      <c r="E14" s="7" t="s">
        <v>65</v>
      </c>
      <c r="F14" s="7" t="s">
        <v>67</v>
      </c>
      <c r="G14" s="7" t="s">
        <v>61</v>
      </c>
      <c r="H14" s="7" t="s">
        <v>62</v>
      </c>
    </row>
    <row r="15" spans="1:8" x14ac:dyDescent="0.4">
      <c r="B15" s="8" t="s">
        <v>74</v>
      </c>
      <c r="C15" s="8" t="s">
        <v>93</v>
      </c>
      <c r="D15" s="8">
        <v>480</v>
      </c>
      <c r="E15" s="8">
        <v>1.4130434782608694</v>
      </c>
      <c r="F15" s="8">
        <v>480</v>
      </c>
      <c r="G15" s="8">
        <v>132.50000000000003</v>
      </c>
      <c r="H15" s="8">
        <v>229.74999999999986</v>
      </c>
    </row>
    <row r="16" spans="1:8" x14ac:dyDescent="0.4">
      <c r="B16" s="8" t="s">
        <v>76</v>
      </c>
      <c r="C16" s="8" t="s">
        <v>94</v>
      </c>
      <c r="D16" s="8">
        <v>175</v>
      </c>
      <c r="E16" s="8">
        <v>1.3043478260869568</v>
      </c>
      <c r="F16" s="8">
        <v>175</v>
      </c>
      <c r="G16" s="8">
        <v>24.837837837837828</v>
      </c>
      <c r="H16" s="8">
        <v>37.857142857142861</v>
      </c>
    </row>
    <row r="17" spans="2:8" ht="14.25" thickBot="1" x14ac:dyDescent="0.45">
      <c r="B17" s="9" t="s">
        <v>95</v>
      </c>
      <c r="C17" s="9" t="s">
        <v>96</v>
      </c>
      <c r="D17" s="9">
        <v>990.21739130434787</v>
      </c>
      <c r="E17" s="9">
        <v>0</v>
      </c>
      <c r="F17" s="9">
        <v>1190</v>
      </c>
      <c r="G17" s="9">
        <v>1E+30</v>
      </c>
      <c r="H17" s="9">
        <v>199.78260869565213</v>
      </c>
    </row>
    <row r="19" spans="2:8" ht="15.75" x14ac:dyDescent="0.55000000000000004">
      <c r="B19" s="1" t="s">
        <v>78</v>
      </c>
      <c r="C19" s="2"/>
    </row>
    <row r="20" spans="2:8" ht="15" x14ac:dyDescent="0.5">
      <c r="B20" s="2" t="s">
        <v>102</v>
      </c>
      <c r="C20" s="2" t="s">
        <v>103</v>
      </c>
    </row>
    <row r="21" spans="2:8" ht="15" x14ac:dyDescent="0.5">
      <c r="B21" s="2" t="s">
        <v>79</v>
      </c>
      <c r="C21" s="2" t="s">
        <v>105</v>
      </c>
    </row>
    <row r="22" spans="2:8" ht="15" x14ac:dyDescent="0.5">
      <c r="B22" s="2" t="s">
        <v>81</v>
      </c>
      <c r="C22" s="2" t="s">
        <v>97</v>
      </c>
    </row>
    <row r="23" spans="2:8" ht="15" x14ac:dyDescent="0.5">
      <c r="B23" s="2" t="s">
        <v>82</v>
      </c>
      <c r="C23" s="2">
        <v>0</v>
      </c>
    </row>
    <row r="24" spans="2:8" ht="15" x14ac:dyDescent="0.5">
      <c r="B24" s="2" t="s">
        <v>85</v>
      </c>
      <c r="C24" s="2" t="s">
        <v>98</v>
      </c>
    </row>
    <row r="25" spans="2:8" ht="15" x14ac:dyDescent="0.5">
      <c r="B25" s="2" t="s">
        <v>99</v>
      </c>
      <c r="C25" s="2" t="s">
        <v>100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5DE7-5959-4A1B-B474-AB6949056824}">
  <dimension ref="A1:L21"/>
  <sheetViews>
    <sheetView showGridLines="0" tabSelected="1" zoomScale="110" zoomScaleNormal="110" zoomScalePageLayoutView="110" workbookViewId="0">
      <selection activeCell="D24" sqref="D24"/>
    </sheetView>
  </sheetViews>
  <sheetFormatPr defaultColWidth="8.796875" defaultRowHeight="13.9" x14ac:dyDescent="0.4"/>
  <cols>
    <col min="1" max="1" width="21" style="5" customWidth="1"/>
    <col min="2" max="2" width="31.46484375" style="5" customWidth="1"/>
    <col min="3" max="4" width="20.46484375" style="5" customWidth="1"/>
    <col min="5" max="5" width="20.46484375" style="17" customWidth="1"/>
    <col min="6" max="6" width="5.59765625" style="5" customWidth="1"/>
    <col min="7" max="7" width="10.59765625" style="5" bestFit="1" customWidth="1"/>
    <col min="8" max="8" width="12.59765625" style="5" bestFit="1" customWidth="1"/>
    <col min="9" max="16384" width="8.796875" style="5"/>
  </cols>
  <sheetData>
    <row r="1" spans="1:12" x14ac:dyDescent="0.4">
      <c r="A1" s="10" t="s">
        <v>23</v>
      </c>
      <c r="B1" s="11"/>
    </row>
    <row r="3" spans="1:12" ht="14.25" thickBot="1" x14ac:dyDescent="0.45">
      <c r="A3" s="4" t="s">
        <v>6</v>
      </c>
      <c r="C3" s="17"/>
      <c r="D3" s="17"/>
    </row>
    <row r="4" spans="1:12" x14ac:dyDescent="0.4">
      <c r="A4" s="4"/>
      <c r="B4" s="12"/>
      <c r="C4" s="48" t="s">
        <v>24</v>
      </c>
      <c r="D4" s="48"/>
      <c r="E4" s="49" t="s">
        <v>25</v>
      </c>
    </row>
    <row r="5" spans="1:12" x14ac:dyDescent="0.4">
      <c r="A5" s="4"/>
      <c r="B5" s="16"/>
      <c r="C5" s="19" t="s">
        <v>26</v>
      </c>
      <c r="D5" s="19" t="s">
        <v>27</v>
      </c>
      <c r="E5" s="50"/>
    </row>
    <row r="6" spans="1:12" x14ac:dyDescent="0.4">
      <c r="B6" s="16" t="s">
        <v>28</v>
      </c>
      <c r="C6" s="23">
        <v>6</v>
      </c>
      <c r="D6" s="23">
        <v>14</v>
      </c>
      <c r="E6" s="50">
        <v>480</v>
      </c>
      <c r="F6" s="19"/>
    </row>
    <row r="7" spans="1:12" x14ac:dyDescent="0.4">
      <c r="B7" s="16" t="s">
        <v>29</v>
      </c>
      <c r="C7" s="23">
        <v>5</v>
      </c>
      <c r="D7" s="23">
        <v>4</v>
      </c>
      <c r="E7" s="50">
        <v>175</v>
      </c>
      <c r="F7" s="19"/>
    </row>
    <row r="8" spans="1:12" x14ac:dyDescent="0.4">
      <c r="B8" s="16" t="s">
        <v>30</v>
      </c>
      <c r="C8" s="23">
        <v>35</v>
      </c>
      <c r="D8" s="23">
        <v>20</v>
      </c>
      <c r="E8" s="50">
        <v>1190</v>
      </c>
      <c r="F8" s="17"/>
    </row>
    <row r="9" spans="1:12" x14ac:dyDescent="0.4">
      <c r="B9" s="16"/>
      <c r="C9" s="19" t="s">
        <v>26</v>
      </c>
      <c r="D9" s="19" t="s">
        <v>27</v>
      </c>
      <c r="E9" s="50"/>
      <c r="F9" s="17"/>
    </row>
    <row r="10" spans="1:12" ht="14.25" thickBot="1" x14ac:dyDescent="0.45">
      <c r="A10" s="4"/>
      <c r="B10" s="25" t="s">
        <v>31</v>
      </c>
      <c r="C10" s="26">
        <v>15</v>
      </c>
      <c r="D10" s="26">
        <v>25</v>
      </c>
      <c r="E10" s="51"/>
      <c r="F10" s="28"/>
    </row>
    <row r="11" spans="1:12" ht="14.25" thickBot="1" x14ac:dyDescent="0.45">
      <c r="C11" s="29"/>
      <c r="D11" s="29"/>
    </row>
    <row r="12" spans="1:12" x14ac:dyDescent="0.4">
      <c r="A12" s="4" t="s">
        <v>4</v>
      </c>
      <c r="B12" s="12"/>
      <c r="C12" s="30" t="s">
        <v>26</v>
      </c>
      <c r="D12" s="31" t="s">
        <v>27</v>
      </c>
      <c r="E12" s="32"/>
      <c r="F12" s="33"/>
    </row>
    <row r="13" spans="1:12" ht="14.25" thickBot="1" x14ac:dyDescent="0.45">
      <c r="B13" s="34" t="s">
        <v>32</v>
      </c>
      <c r="C13" s="52">
        <v>11.521739130434785</v>
      </c>
      <c r="D13" s="53">
        <v>29.34782608695652</v>
      </c>
      <c r="E13" s="32"/>
      <c r="F13" s="33"/>
    </row>
    <row r="14" spans="1:12" ht="14.25" thickBot="1" x14ac:dyDescent="0.45">
      <c r="C14" s="29"/>
      <c r="D14" s="29"/>
      <c r="G14" s="33"/>
    </row>
    <row r="15" spans="1:12" ht="14.25" thickBot="1" x14ac:dyDescent="0.45">
      <c r="A15" s="4" t="s">
        <v>8</v>
      </c>
      <c r="B15" s="37" t="s">
        <v>21</v>
      </c>
      <c r="C15" s="38">
        <f>C10*C13+D10*D13</f>
        <v>906.52173913043475</v>
      </c>
      <c r="D15" s="39" t="s">
        <v>5</v>
      </c>
      <c r="G15" s="33"/>
      <c r="J15" s="41"/>
      <c r="L15" s="41"/>
    </row>
    <row r="16" spans="1:12" ht="14.25" thickBot="1" x14ac:dyDescent="0.45">
      <c r="C16" s="32"/>
      <c r="D16" s="32"/>
      <c r="E16" s="32"/>
      <c r="F16" s="32"/>
      <c r="G16" s="33"/>
    </row>
    <row r="17" spans="1:6" x14ac:dyDescent="0.4">
      <c r="A17" s="4" t="s">
        <v>1</v>
      </c>
      <c r="B17" s="12"/>
      <c r="C17" s="42" t="s">
        <v>2</v>
      </c>
      <c r="D17" s="43"/>
      <c r="E17" s="44" t="s">
        <v>3</v>
      </c>
      <c r="F17" s="33"/>
    </row>
    <row r="18" spans="1:6" x14ac:dyDescent="0.4">
      <c r="B18" s="16" t="s">
        <v>33</v>
      </c>
      <c r="C18" s="32">
        <f>C6*C13+D6*D13</f>
        <v>480</v>
      </c>
      <c r="D18" s="32"/>
      <c r="E18" s="45">
        <v>480</v>
      </c>
      <c r="F18" s="33"/>
    </row>
    <row r="19" spans="1:6" x14ac:dyDescent="0.4">
      <c r="B19" s="16" t="s">
        <v>34</v>
      </c>
      <c r="C19" s="32">
        <f>C7*C13+D7*D13</f>
        <v>175</v>
      </c>
      <c r="D19" s="32"/>
      <c r="E19" s="45">
        <v>175</v>
      </c>
      <c r="F19" s="33"/>
    </row>
    <row r="20" spans="1:6" x14ac:dyDescent="0.4">
      <c r="B20" s="16" t="s">
        <v>35</v>
      </c>
      <c r="C20" s="32">
        <f>C8*C13+D8*D13</f>
        <v>990.21739130434787</v>
      </c>
      <c r="D20" s="32"/>
      <c r="E20" s="45">
        <v>1190</v>
      </c>
      <c r="F20" s="33"/>
    </row>
    <row r="21" spans="1:6" ht="14.25" thickBot="1" x14ac:dyDescent="0.45">
      <c r="B21" s="25" t="s">
        <v>7</v>
      </c>
      <c r="C21" s="46"/>
      <c r="D21" s="46"/>
      <c r="E21" s="47"/>
    </row>
  </sheetData>
  <mergeCells count="1">
    <mergeCell ref="C4:D4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1BFF-22C0-4FE9-BC2F-70D44C6F15C8}">
  <dimension ref="A1:M23"/>
  <sheetViews>
    <sheetView showGridLines="0" topLeftCell="A4" zoomScale="110" zoomScaleNormal="110" zoomScalePageLayoutView="110" workbookViewId="0">
      <selection activeCell="G22" sqref="G22"/>
    </sheetView>
  </sheetViews>
  <sheetFormatPr defaultColWidth="8.796875" defaultRowHeight="13.9" x14ac:dyDescent="0.4"/>
  <cols>
    <col min="1" max="1" width="21" style="5" customWidth="1"/>
    <col min="2" max="2" width="31.46484375" style="5" customWidth="1"/>
    <col min="3" max="5" width="8.796875" style="5" customWidth="1"/>
    <col min="6" max="6" width="8.796875" style="17" customWidth="1"/>
    <col min="7" max="9" width="8.796875" style="5" customWidth="1"/>
    <col min="10" max="16384" width="8.796875" style="5"/>
  </cols>
  <sheetData>
    <row r="1" spans="1:13" x14ac:dyDescent="0.4">
      <c r="A1" s="10" t="s">
        <v>36</v>
      </c>
      <c r="B1" s="11"/>
    </row>
    <row r="3" spans="1:13" ht="14.25" thickBot="1" x14ac:dyDescent="0.45">
      <c r="A3" s="4" t="s">
        <v>6</v>
      </c>
      <c r="C3" s="17"/>
      <c r="D3" s="17"/>
      <c r="E3" s="17"/>
    </row>
    <row r="4" spans="1:13" x14ac:dyDescent="0.4">
      <c r="A4" s="4"/>
      <c r="B4" s="12"/>
      <c r="C4" s="14"/>
      <c r="D4" s="14"/>
      <c r="E4" s="14"/>
      <c r="F4" s="14"/>
      <c r="G4" s="14"/>
      <c r="H4" s="14"/>
      <c r="I4" s="14"/>
      <c r="J4" s="15"/>
    </row>
    <row r="5" spans="1:13" x14ac:dyDescent="0.4">
      <c r="A5" s="4"/>
      <c r="B5" s="58" t="s">
        <v>39</v>
      </c>
      <c r="C5" s="19">
        <v>1</v>
      </c>
      <c r="D5" s="19">
        <v>1</v>
      </c>
      <c r="E5" s="19">
        <v>1</v>
      </c>
      <c r="F5" s="23">
        <v>2</v>
      </c>
      <c r="G5" s="23">
        <v>2</v>
      </c>
      <c r="H5" s="23">
        <v>3</v>
      </c>
      <c r="I5" s="23">
        <v>3</v>
      </c>
      <c r="J5" s="24">
        <v>5</v>
      </c>
    </row>
    <row r="6" spans="1:13" x14ac:dyDescent="0.4">
      <c r="A6" s="4"/>
      <c r="B6" s="58" t="s">
        <v>40</v>
      </c>
      <c r="C6" s="19">
        <v>2</v>
      </c>
      <c r="D6" s="19">
        <v>3</v>
      </c>
      <c r="E6" s="19">
        <v>4</v>
      </c>
      <c r="F6" s="23">
        <v>3</v>
      </c>
      <c r="G6" s="23">
        <v>5</v>
      </c>
      <c r="H6" s="23">
        <v>4</v>
      </c>
      <c r="I6" s="23">
        <v>5</v>
      </c>
      <c r="J6" s="24">
        <v>4</v>
      </c>
    </row>
    <row r="7" spans="1:13" x14ac:dyDescent="0.4">
      <c r="A7" s="4"/>
      <c r="B7" s="16" t="s">
        <v>37</v>
      </c>
      <c r="C7" s="59">
        <v>12</v>
      </c>
      <c r="D7" s="59">
        <v>8</v>
      </c>
      <c r="E7" s="59">
        <v>15</v>
      </c>
      <c r="F7" s="59">
        <v>9</v>
      </c>
      <c r="G7" s="59">
        <v>16</v>
      </c>
      <c r="H7" s="59">
        <v>6</v>
      </c>
      <c r="I7" s="59">
        <v>7</v>
      </c>
      <c r="J7" s="60">
        <v>12</v>
      </c>
    </row>
    <row r="8" spans="1:13" ht="14.25" thickBot="1" x14ac:dyDescent="0.45">
      <c r="A8" s="4"/>
      <c r="B8" s="61" t="s">
        <v>38</v>
      </c>
      <c r="C8" s="62">
        <v>10</v>
      </c>
      <c r="D8" s="62">
        <v>10</v>
      </c>
      <c r="E8" s="62">
        <v>10</v>
      </c>
      <c r="F8" s="62">
        <v>10</v>
      </c>
      <c r="G8" s="62">
        <v>10</v>
      </c>
      <c r="H8" s="62">
        <v>10</v>
      </c>
      <c r="I8" s="62">
        <v>10</v>
      </c>
      <c r="J8" s="51">
        <v>10</v>
      </c>
    </row>
    <row r="9" spans="1:13" ht="14.25" thickBot="1" x14ac:dyDescent="0.45">
      <c r="C9" s="29"/>
      <c r="D9" s="29"/>
      <c r="E9" s="29"/>
    </row>
    <row r="10" spans="1:13" x14ac:dyDescent="0.4">
      <c r="A10" s="4" t="s">
        <v>4</v>
      </c>
      <c r="B10" s="12"/>
      <c r="C10" s="30"/>
      <c r="D10" s="30"/>
      <c r="E10" s="30"/>
      <c r="F10" s="30"/>
      <c r="G10" s="30"/>
      <c r="H10" s="30"/>
      <c r="I10" s="30"/>
      <c r="J10" s="31"/>
      <c r="K10" s="19"/>
      <c r="L10" s="32"/>
      <c r="M10" s="33"/>
    </row>
    <row r="11" spans="1:13" x14ac:dyDescent="0.4">
      <c r="A11" s="4"/>
      <c r="B11" s="58" t="s">
        <v>39</v>
      </c>
      <c r="C11" s="19">
        <v>1</v>
      </c>
      <c r="D11" s="19">
        <v>1</v>
      </c>
      <c r="E11" s="19">
        <v>1</v>
      </c>
      <c r="F11" s="23">
        <v>2</v>
      </c>
      <c r="G11" s="23">
        <v>2</v>
      </c>
      <c r="H11" s="23">
        <v>3</v>
      </c>
      <c r="I11" s="23">
        <v>3</v>
      </c>
      <c r="J11" s="24">
        <v>5</v>
      </c>
      <c r="K11" s="19"/>
      <c r="L11" s="32"/>
      <c r="M11" s="33"/>
    </row>
    <row r="12" spans="1:13" x14ac:dyDescent="0.4">
      <c r="A12" s="4"/>
      <c r="B12" s="58" t="s">
        <v>40</v>
      </c>
      <c r="C12" s="19">
        <v>2</v>
      </c>
      <c r="D12" s="19">
        <v>3</v>
      </c>
      <c r="E12" s="19">
        <v>4</v>
      </c>
      <c r="F12" s="23">
        <v>3</v>
      </c>
      <c r="G12" s="23">
        <v>5</v>
      </c>
      <c r="H12" s="23">
        <v>4</v>
      </c>
      <c r="I12" s="23">
        <v>5</v>
      </c>
      <c r="J12" s="24">
        <v>4</v>
      </c>
      <c r="K12" s="19"/>
      <c r="L12" s="32"/>
      <c r="M12" s="33"/>
    </row>
    <row r="13" spans="1:13" ht="14.25" thickBot="1" x14ac:dyDescent="0.45">
      <c r="B13" s="34" t="s">
        <v>41</v>
      </c>
      <c r="C13" s="35">
        <v>0</v>
      </c>
      <c r="D13" s="35">
        <v>5</v>
      </c>
      <c r="E13" s="35">
        <v>10</v>
      </c>
      <c r="F13" s="35">
        <v>5</v>
      </c>
      <c r="G13" s="35">
        <v>10</v>
      </c>
      <c r="H13" s="35">
        <v>10</v>
      </c>
      <c r="I13" s="35">
        <v>0</v>
      </c>
      <c r="J13" s="36">
        <v>0</v>
      </c>
      <c r="K13" s="63"/>
      <c r="L13" s="32"/>
      <c r="M13" s="33"/>
    </row>
    <row r="14" spans="1:13" ht="14.25" thickBot="1" x14ac:dyDescent="0.45">
      <c r="C14" s="29"/>
      <c r="D14" s="29"/>
      <c r="E14" s="29"/>
      <c r="H14" s="33"/>
    </row>
    <row r="15" spans="1:13" ht="14.25" thickBot="1" x14ac:dyDescent="0.45">
      <c r="A15" s="4" t="s">
        <v>8</v>
      </c>
      <c r="B15" s="37" t="s">
        <v>21</v>
      </c>
      <c r="C15" s="38">
        <f>SUMPRODUCT(C13:J13,C7:J7)</f>
        <v>455</v>
      </c>
      <c r="D15" s="39" t="s">
        <v>42</v>
      </c>
      <c r="E15" s="39"/>
      <c r="H15" s="33"/>
    </row>
    <row r="16" spans="1:13" x14ac:dyDescent="0.4">
      <c r="C16" s="32"/>
      <c r="D16" s="32"/>
      <c r="E16" s="32"/>
      <c r="F16" s="32"/>
      <c r="G16" s="32"/>
      <c r="H16" s="33"/>
    </row>
    <row r="17" spans="1:7" x14ac:dyDescent="0.4">
      <c r="A17" s="4" t="s">
        <v>1</v>
      </c>
      <c r="C17" s="64" t="s">
        <v>2</v>
      </c>
      <c r="D17" s="32"/>
      <c r="E17" s="64" t="s">
        <v>3</v>
      </c>
      <c r="F17" s="64"/>
      <c r="G17" s="33"/>
    </row>
    <row r="18" spans="1:7" x14ac:dyDescent="0.4">
      <c r="B18" s="5" t="s">
        <v>43</v>
      </c>
      <c r="C18" s="29">
        <f>SUM(C13:E13)</f>
        <v>15</v>
      </c>
      <c r="D18" s="32"/>
      <c r="E18" s="29">
        <v>15</v>
      </c>
      <c r="F18" s="29"/>
      <c r="G18" s="33"/>
    </row>
    <row r="19" spans="1:7" x14ac:dyDescent="0.4">
      <c r="B19" s="5" t="s">
        <v>44</v>
      </c>
      <c r="C19" s="29">
        <f>SUM(F13:G13)-C13</f>
        <v>15</v>
      </c>
      <c r="D19" s="32"/>
      <c r="E19" s="29">
        <v>15</v>
      </c>
      <c r="F19" s="29"/>
      <c r="G19" s="33"/>
    </row>
    <row r="20" spans="1:7" x14ac:dyDescent="0.4">
      <c r="B20" s="5" t="s">
        <v>45</v>
      </c>
      <c r="C20" s="29">
        <f>SUM(H13:I13)-D13-F13</f>
        <v>0</v>
      </c>
      <c r="D20" s="32"/>
      <c r="E20" s="29">
        <v>0</v>
      </c>
      <c r="F20" s="29"/>
      <c r="G20" s="33"/>
    </row>
    <row r="21" spans="1:7" x14ac:dyDescent="0.4">
      <c r="B21" s="5" t="s">
        <v>46</v>
      </c>
      <c r="C21" s="29">
        <f>-E13-H13-J13</f>
        <v>-20</v>
      </c>
      <c r="D21" s="32"/>
      <c r="E21" s="29">
        <v>-20</v>
      </c>
      <c r="F21" s="32"/>
    </row>
    <row r="22" spans="1:7" x14ac:dyDescent="0.4">
      <c r="B22" s="5" t="s">
        <v>47</v>
      </c>
      <c r="C22" s="23">
        <f>J13-I13-G13</f>
        <v>-10</v>
      </c>
      <c r="D22" s="17"/>
      <c r="E22" s="17">
        <v>-10</v>
      </c>
    </row>
    <row r="23" spans="1:7" x14ac:dyDescent="0.4">
      <c r="B23" s="5" t="s">
        <v>48</v>
      </c>
      <c r="C23" s="65" t="s">
        <v>101</v>
      </c>
      <c r="E23" s="29">
        <v>10</v>
      </c>
    </row>
  </sheetData>
  <phoneticPr fontId="3" type="noConversion"/>
  <pageMargins left="0.7" right="0.7" top="0.75" bottom="0.75" header="0.3" footer="0.3"/>
  <pageSetup orientation="portrait" r:id="rId1"/>
  <ignoredErrors>
    <ignoredError sqref="C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 Report 1</vt:lpstr>
      <vt:lpstr>Problem 1</vt:lpstr>
      <vt:lpstr>Sensitivity Report 2</vt:lpstr>
      <vt:lpstr>Problem 2</vt:lpstr>
      <vt:lpstr>Problem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Yuchen Wu</cp:lastModifiedBy>
  <dcterms:created xsi:type="dcterms:W3CDTF">2012-02-02T04:16:33Z</dcterms:created>
  <dcterms:modified xsi:type="dcterms:W3CDTF">2025-11-09T19:35:29Z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257F6D64-0525-445D-8E61-68ACE5AD9238</vt:lpwstr>
  </property>
</Properties>
</file>