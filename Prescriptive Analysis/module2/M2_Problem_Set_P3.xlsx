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ahat\Box\DAT500N\Module_6\Lab_Session\"/>
    </mc:Choice>
  </mc:AlternateContent>
  <bookViews>
    <workbookView xWindow="120" yWindow="156" windowWidth="15600" windowHeight="9372" tabRatio="759"/>
  </bookViews>
  <sheets>
    <sheet name="Data" sheetId="34" r:id="rId1"/>
    <sheet name="Model - s-curve" sheetId="36" r:id="rId2"/>
    <sheet name="Chart with s-curve" sheetId="38" r:id="rId3"/>
  </sheets>
  <definedNames>
    <definedName name="coin_cuttype" localSheetId="1" hidden="1">1</definedName>
    <definedName name="coin_dualtol" localSheetId="1" hidden="1">0.0000001</definedName>
    <definedName name="coin_heurs" localSheetId="1" hidden="1">1</definedName>
    <definedName name="coin_integerpresolve" localSheetId="1" hidden="1">1</definedName>
    <definedName name="coin_presolve1" localSheetId="1" hidden="1">1</definedName>
    <definedName name="coin_primaltol" localSheetId="1" hidden="1">0.0000001</definedName>
    <definedName name="grb_bariter" localSheetId="1" hidden="1">1E+100</definedName>
    <definedName name="grb_bartol" localSheetId="1" hidden="1">0.00000001</definedName>
    <definedName name="grb_crossover" localSheetId="1" hidden="1">-1</definedName>
    <definedName name="grb_cutoff" localSheetId="1" hidden="1">1E+100</definedName>
    <definedName name="grb_cuts" localSheetId="1" hidden="1">-1</definedName>
    <definedName name="grb_focus" localSheetId="1" hidden="1">0</definedName>
    <definedName name="grb_heur" localSheetId="1" hidden="1">0.05</definedName>
    <definedName name="grb_infeas" localSheetId="1" hidden="1">0.000001</definedName>
    <definedName name="grb_inttol" localSheetId="1" hidden="1">0.00001</definedName>
    <definedName name="grb_method" localSheetId="1" hidden="1">1</definedName>
    <definedName name="grb_nodefilestart" localSheetId="1" hidden="1">1E+100</definedName>
    <definedName name="grb_optimal" localSheetId="1" hidden="1">0.000001</definedName>
    <definedName name="grb_order" localSheetId="1" hidden="1">-1</definedName>
    <definedName name="grb_presolve" localSheetId="1" hidden="1">-1</definedName>
    <definedName name="grb_pricing" localSheetId="1" hidden="1">-1</definedName>
    <definedName name="grb_psdtol" localSheetId="1" hidden="1">0.000001</definedName>
    <definedName name="grb_relmip" localSheetId="1" hidden="1">0.0001</definedName>
    <definedName name="grb_submip" localSheetId="1" hidden="1">500</definedName>
    <definedName name="grb_symmetry" localSheetId="1" hidden="1">-1</definedName>
    <definedName name="grb_threads" localSheetId="1" hidden="1">0</definedName>
    <definedName name="grb_var" localSheetId="1" hidden="1">-1</definedName>
    <definedName name="gurobi_qp" localSheetId="1" hidden="1">2</definedName>
    <definedName name="LSGRGeng_RelaxBounds" localSheetId="1" hidden="1">0</definedName>
    <definedName name="solver_acc" localSheetId="1" hidden="1">0.001</definedName>
    <definedName name="solver_adj" localSheetId="1" hidden="1">'Model - s-curve'!$C$5:$C$8</definedName>
    <definedName name="solver_adj_ob" localSheetId="1" hidden="1">1</definedName>
    <definedName name="solver_ars" localSheetId="1" hidden="1">1</definedName>
    <definedName name="solver_bigm" localSheetId="1" hidden="1">1000000</definedName>
    <definedName name="solver_bnd" localSheetId="1" hidden="1">1</definedName>
    <definedName name="solver_cha" localSheetId="1" hidden="1">0</definedName>
    <definedName name="solver_chc1" localSheetId="1" hidden="1">0</definedName>
    <definedName name="solver_chc2" localSheetId="1" hidden="1">0</definedName>
    <definedName name="solver_chn" localSheetId="1" hidden="1">4</definedName>
    <definedName name="solver_chp1" localSheetId="1" hidden="1">0</definedName>
    <definedName name="solver_chp2" localSheetId="1" hidden="1">0</definedName>
    <definedName name="solver_cht" localSheetId="1" hidden="1">0</definedName>
    <definedName name="solver_cir1" localSheetId="1" hidden="1">1</definedName>
    <definedName name="solver_cir2" localSheetId="1" hidden="1">1</definedName>
    <definedName name="solver_con1" localSheetId="1" hidden="1">" "</definedName>
    <definedName name="solver_con2" localSheetId="1" hidden="1">" "</definedName>
    <definedName name="solver_corr" hidden="1">1</definedName>
    <definedName name="solver_ctp1" hidden="1">0</definedName>
    <definedName name="solver_ctp2" hidden="1">0</definedName>
    <definedName name="solver_cvg" localSheetId="1" hidden="1">0.0001</definedName>
    <definedName name="solver_dia" localSheetId="1" hidden="1">5</definedName>
    <definedName name="solver_disp" hidden="1">0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eval" hidden="1">0</definedName>
    <definedName name="solver_fea" localSheetId="1" hidden="1">0.000001</definedName>
    <definedName name="solver_fns" localSheetId="1" hidden="1">0</definedName>
    <definedName name="solver_gap" localSheetId="1" hidden="1">0.0000001</definedName>
    <definedName name="solver_glb" localSheetId="1" hidden="1">-1E+30</definedName>
    <definedName name="solver_gub" localSheetId="1" hidden="1">1E+30</definedName>
    <definedName name="solver_iao" localSheetId="1" hidden="1">0</definedName>
    <definedName name="solver_inc" localSheetId="1" hidden="1">0</definedName>
    <definedName name="solver_int" localSheetId="1" hidden="1">0</definedName>
    <definedName name="solver_ipd" localSheetId="1" hidden="1">3</definedName>
    <definedName name="solver_ipi" localSheetId="1" hidden="1">1</definedName>
    <definedName name="solver_ips" localSheetId="1" hidden="1">0.99</definedName>
    <definedName name="solver_irs" localSheetId="1" hidden="1">0</definedName>
    <definedName name="solver_ism" localSheetId="1" hidden="1">0</definedName>
    <definedName name="solver_itr" localSheetId="1" hidden="1">2147483647</definedName>
    <definedName name="solver_kiv" localSheetId="1" hidden="1">2E+30</definedName>
    <definedName name="solver_lcens" hidden="1">-1E+30</definedName>
    <definedName name="solver_lcut" hidden="1">-1E+30</definedName>
    <definedName name="solver_legacy" localSheetId="1" hidden="1">1</definedName>
    <definedName name="solver_lhs_ob1" localSheetId="1" hidden="1">0</definedName>
    <definedName name="solver_lhs_ob2" localSheetId="1" hidden="1">0</definedName>
    <definedName name="solver_lhs1" localSheetId="1" hidden="1">'Model - s-curve'!$C$12</definedName>
    <definedName name="solver_lhs2" localSheetId="1" hidden="1">'Model - s-curve'!#REF!</definedName>
    <definedName name="solver_lin" localSheetId="1" hidden="1">2</definedName>
    <definedName name="solver_loc" localSheetId="1" hidden="1">4</definedName>
    <definedName name="solver_log" localSheetId="1" hidden="1">1</definedName>
    <definedName name="solver_lpp" localSheetId="1" hidden="1">0</definedName>
    <definedName name="solver_lpt" localSheetId="1" hidden="1">0</definedName>
    <definedName name="solver_lva" localSheetId="1" hidden="1">0</definedName>
    <definedName name="solver_mda" localSheetId="1" hidden="1">4</definedName>
    <definedName name="solver_met" localSheetId="1" hidden="1">1</definedName>
    <definedName name="solver_mip" localSheetId="1" hidden="1">2147483647</definedName>
    <definedName name="solver_mni" localSheetId="1" hidden="1">30</definedName>
    <definedName name="solver_mod" localSheetId="1" hidden="1">1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opt" localSheetId="1" hidden="1">1</definedName>
    <definedName name="solver_nsim" hidden="1">1</definedName>
    <definedName name="solver_nsopt" localSheetId="1" hidden="1">-1</definedName>
    <definedName name="solver_nssim" hidden="1">-1</definedName>
    <definedName name="solver_ntr" localSheetId="1" hidden="1">0</definedName>
    <definedName name="solver_ntri" hidden="1">1000</definedName>
    <definedName name="solver_num" localSheetId="1" hidden="1">0</definedName>
    <definedName name="solver_nwt" localSheetId="1" hidden="1">1</definedName>
    <definedName name="solver_opt" localSheetId="1" hidden="1">'Model - s-curve'!$C$10</definedName>
    <definedName name="solver_pre" localSheetId="1" hidden="1">0.000001</definedName>
    <definedName name="solver_psi" localSheetId="1" hidden="1">0</definedName>
    <definedName name="solver_rbv" localSheetId="1" hidden="1">2</definedName>
    <definedName name="solver_rdp" localSheetId="1" hidden="1">1</definedName>
    <definedName name="solver_rel1" localSheetId="1" hidden="1">3</definedName>
    <definedName name="solver_rel2" localSheetId="1" hidden="1">1</definedName>
    <definedName name="solver_rep" localSheetId="1" hidden="1">0</definedName>
    <definedName name="solver_res" localSheetId="1" hidden="1">0.05</definedName>
    <definedName name="solver_rhs1" localSheetId="1" hidden="1">'Model - s-curve'!$E$12</definedName>
    <definedName name="solver_rhs2" localSheetId="1" hidden="1">'Model - s-curve'!#REF!</definedName>
    <definedName name="solver_rlx" localSheetId="1" hidden="1">2</definedName>
    <definedName name="solver_rsd" localSheetId="1" hidden="1">100</definedName>
    <definedName name="solver_rsmp" hidden="1">2</definedName>
    <definedName name="solver_rtr" localSheetId="1" hidden="1">0</definedName>
    <definedName name="solver_rxc1" localSheetId="1" hidden="1">1</definedName>
    <definedName name="solver_rxc2" localSheetId="1" hidden="1">1</definedName>
    <definedName name="solver_scl" localSheetId="1" hidden="1">2</definedName>
    <definedName name="solver_seed" hidden="1">0</definedName>
    <definedName name="solver_sel" localSheetId="1" hidden="1">1</definedName>
    <definedName name="solver_sho" localSheetId="1" hidden="1">2</definedName>
    <definedName name="solver_slv" localSheetId="1" hidden="1">0</definedName>
    <definedName name="solver_slvu" localSheetId="1" hidden="1">0</definedName>
    <definedName name="solver_soc" localSheetId="1" hidden="1">0</definedName>
    <definedName name="solver_ssz" localSheetId="1" hidden="1">0</definedName>
    <definedName name="solver_sta" localSheetId="1" hidden="1">0</definedName>
    <definedName name="solver_sthr" hidden="1">0</definedName>
    <definedName name="solver_thr" localSheetId="1" hidden="1">0</definedName>
    <definedName name="solver_tim" localSheetId="1" hidden="1">2147483647</definedName>
    <definedName name="solver_tms" localSheetId="1" hidden="1">0</definedName>
    <definedName name="solver_tol" localSheetId="1" hidden="1">0</definedName>
    <definedName name="solver_tree_a" localSheetId="1" hidden="1">1</definedName>
    <definedName name="solver_tree_b" localSheetId="1" hidden="1">1</definedName>
    <definedName name="solver_tree_ce" localSheetId="1" hidden="1">1</definedName>
    <definedName name="solver_tree_dn" localSheetId="1" hidden="1">1</definedName>
    <definedName name="solver_tree_rt" localSheetId="1" hidden="1">999999999999</definedName>
    <definedName name="solver_typ" localSheetId="1" hidden="1">2</definedName>
    <definedName name="solver_ubigm" localSheetId="1" hidden="1">1000000</definedName>
    <definedName name="solver_ucens" hidden="1">1E+30</definedName>
    <definedName name="solver_ucut" hidden="1">1E+30</definedName>
    <definedName name="solver_umod" localSheetId="1" hidden="1">1</definedName>
    <definedName name="solver_urs" localSheetId="1" hidden="1">0</definedName>
    <definedName name="solver_val" localSheetId="1" hidden="1">0</definedName>
    <definedName name="solver_ver" localSheetId="1" hidden="1">3</definedName>
    <definedName name="solver_vol" localSheetId="1" hidden="1">0</definedName>
  </definedNames>
  <calcPr calcId="162913"/>
</workbook>
</file>

<file path=xl/calcChain.xml><?xml version="1.0" encoding="utf-8"?>
<calcChain xmlns="http://schemas.openxmlformats.org/spreadsheetml/2006/main">
  <c r="B18" i="36" l="1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47" i="36"/>
  <c r="B48" i="36"/>
  <c r="B49" i="36"/>
  <c r="B50" i="36"/>
  <c r="B51" i="36"/>
  <c r="B52" i="36"/>
  <c r="B53" i="36"/>
  <c r="B54" i="36"/>
  <c r="B55" i="36"/>
  <c r="B56" i="36"/>
  <c r="B57" i="36"/>
  <c r="B58" i="36"/>
  <c r="B59" i="36"/>
  <c r="B60" i="36"/>
  <c r="B61" i="36"/>
  <c r="B62" i="36"/>
  <c r="B63" i="36"/>
  <c r="B64" i="36"/>
  <c r="B65" i="36"/>
  <c r="B66" i="36"/>
  <c r="B17" i="36"/>
  <c r="D66" i="36" l="1"/>
  <c r="C66" i="36"/>
  <c r="E66" i="36" s="1"/>
  <c r="D65" i="36"/>
  <c r="C65" i="36"/>
  <c r="E65" i="36" s="1"/>
  <c r="D64" i="36"/>
  <c r="C64" i="36"/>
  <c r="E64" i="36" s="1"/>
  <c r="D63" i="36"/>
  <c r="C63" i="36"/>
  <c r="E63" i="36" s="1"/>
  <c r="D62" i="36"/>
  <c r="C62" i="36"/>
  <c r="E62" i="36" s="1"/>
  <c r="D61" i="36"/>
  <c r="C61" i="36"/>
  <c r="E61" i="36" s="1"/>
  <c r="D60" i="36"/>
  <c r="C60" i="36"/>
  <c r="E60" i="36" s="1"/>
  <c r="D59" i="36"/>
  <c r="C59" i="36"/>
  <c r="E59" i="36" s="1"/>
  <c r="D58" i="36"/>
  <c r="C58" i="36"/>
  <c r="E58" i="36" s="1"/>
  <c r="D57" i="36"/>
  <c r="C57" i="36"/>
  <c r="E57" i="36" s="1"/>
  <c r="D56" i="36"/>
  <c r="C56" i="36"/>
  <c r="E56" i="36" s="1"/>
  <c r="D55" i="36"/>
  <c r="C55" i="36"/>
  <c r="E55" i="36" s="1"/>
  <c r="D54" i="36"/>
  <c r="C54" i="36"/>
  <c r="E54" i="36" s="1"/>
  <c r="D53" i="36"/>
  <c r="C53" i="36"/>
  <c r="E53" i="36" s="1"/>
  <c r="D52" i="36"/>
  <c r="C52" i="36"/>
  <c r="E52" i="36" s="1"/>
  <c r="D51" i="36"/>
  <c r="C51" i="36"/>
  <c r="E51" i="36" s="1"/>
  <c r="D50" i="36"/>
  <c r="C50" i="36"/>
  <c r="E50" i="36" s="1"/>
  <c r="D49" i="36"/>
  <c r="C49" i="36"/>
  <c r="E49" i="36" s="1"/>
  <c r="D48" i="36"/>
  <c r="C48" i="36"/>
  <c r="E48" i="36" s="1"/>
  <c r="D47" i="36"/>
  <c r="C47" i="36"/>
  <c r="E47" i="36" s="1"/>
  <c r="D46" i="36"/>
  <c r="C46" i="36"/>
  <c r="E46" i="36" s="1"/>
  <c r="D45" i="36"/>
  <c r="C45" i="36"/>
  <c r="E45" i="36" s="1"/>
  <c r="D44" i="36"/>
  <c r="C44" i="36"/>
  <c r="E44" i="36" s="1"/>
  <c r="D43" i="36"/>
  <c r="C43" i="36"/>
  <c r="E43" i="36" s="1"/>
  <c r="D42" i="36"/>
  <c r="C42" i="36"/>
  <c r="E42" i="36" s="1"/>
  <c r="D41" i="36"/>
  <c r="C41" i="36"/>
  <c r="E41" i="36" s="1"/>
  <c r="D40" i="36"/>
  <c r="C40" i="36"/>
  <c r="E40" i="36" s="1"/>
  <c r="D39" i="36"/>
  <c r="C39" i="36"/>
  <c r="E39" i="36" s="1"/>
  <c r="D38" i="36"/>
  <c r="C38" i="36"/>
  <c r="E38" i="36" s="1"/>
  <c r="D37" i="36"/>
  <c r="C37" i="36"/>
  <c r="E37" i="36" s="1"/>
  <c r="D36" i="36"/>
  <c r="C36" i="36"/>
  <c r="E36" i="36" s="1"/>
  <c r="D35" i="36"/>
  <c r="C35" i="36"/>
  <c r="E35" i="36" s="1"/>
  <c r="D34" i="36"/>
  <c r="C34" i="36"/>
  <c r="E34" i="36" s="1"/>
  <c r="D33" i="36"/>
  <c r="C33" i="36"/>
  <c r="E33" i="36" s="1"/>
  <c r="D32" i="36"/>
  <c r="C32" i="36"/>
  <c r="E32" i="36" s="1"/>
  <c r="D31" i="36"/>
  <c r="C31" i="36"/>
  <c r="E31" i="36" s="1"/>
  <c r="D30" i="36"/>
  <c r="C30" i="36"/>
  <c r="E30" i="36" s="1"/>
  <c r="D29" i="36"/>
  <c r="C29" i="36"/>
  <c r="E29" i="36" s="1"/>
  <c r="D28" i="36"/>
  <c r="C28" i="36"/>
  <c r="E28" i="36" s="1"/>
  <c r="D27" i="36"/>
  <c r="C27" i="36"/>
  <c r="E27" i="36" s="1"/>
  <c r="D26" i="36"/>
  <c r="C26" i="36"/>
  <c r="E26" i="36" s="1"/>
  <c r="D25" i="36"/>
  <c r="C25" i="36"/>
  <c r="E25" i="36" s="1"/>
  <c r="D24" i="36"/>
  <c r="C24" i="36"/>
  <c r="E24" i="36" s="1"/>
  <c r="D23" i="36"/>
  <c r="C23" i="36"/>
  <c r="E23" i="36" s="1"/>
  <c r="D22" i="36"/>
  <c r="C22" i="36"/>
  <c r="E22" i="36" s="1"/>
  <c r="D21" i="36"/>
  <c r="C21" i="36"/>
  <c r="E21" i="36" s="1"/>
  <c r="D20" i="36"/>
  <c r="C20" i="36"/>
  <c r="E20" i="36" s="1"/>
  <c r="D19" i="36"/>
  <c r="C19" i="36"/>
  <c r="E19" i="36" s="1"/>
  <c r="D18" i="36"/>
  <c r="C18" i="36"/>
  <c r="E18" i="36" s="1"/>
  <c r="D17" i="36"/>
  <c r="C17" i="36"/>
  <c r="E17" i="36" s="1"/>
  <c r="F65" i="36" l="1"/>
  <c r="F61" i="36"/>
  <c r="F57" i="36"/>
  <c r="F53" i="36"/>
  <c r="F49" i="36"/>
  <c r="F45" i="36"/>
  <c r="F41" i="36"/>
  <c r="F37" i="36"/>
  <c r="F33" i="36"/>
  <c r="F29" i="36"/>
  <c r="F25" i="36"/>
  <c r="F21" i="36"/>
  <c r="F17" i="36"/>
  <c r="F66" i="36"/>
  <c r="F58" i="36"/>
  <c r="F54" i="36"/>
  <c r="F42" i="36"/>
  <c r="F63" i="36"/>
  <c r="F59" i="36"/>
  <c r="F55" i="36"/>
  <c r="F51" i="36"/>
  <c r="F47" i="36"/>
  <c r="F43" i="36"/>
  <c r="F39" i="36"/>
  <c r="F35" i="36"/>
  <c r="F31" i="36"/>
  <c r="F27" i="36"/>
  <c r="F23" i="36"/>
  <c r="F19" i="36"/>
  <c r="F46" i="36"/>
  <c r="F34" i="36"/>
  <c r="F18" i="36"/>
  <c r="F60" i="36"/>
  <c r="F40" i="36"/>
  <c r="F28" i="36"/>
  <c r="F24" i="36"/>
  <c r="F20" i="36"/>
  <c r="F38" i="36"/>
  <c r="F64" i="36"/>
  <c r="F56" i="36"/>
  <c r="F52" i="36"/>
  <c r="F48" i="36"/>
  <c r="F44" i="36"/>
  <c r="F36" i="36"/>
  <c r="F32" i="36"/>
  <c r="F62" i="36"/>
  <c r="F50" i="36"/>
  <c r="F30" i="36"/>
  <c r="F26" i="36"/>
  <c r="F22" i="36"/>
  <c r="G36" i="36" l="1"/>
  <c r="G55" i="36"/>
  <c r="G53" i="36"/>
  <c r="G28" i="36"/>
  <c r="G57" i="36"/>
  <c r="G26" i="36"/>
  <c r="G60" i="36"/>
  <c r="G42" i="36"/>
  <c r="G65" i="36"/>
  <c r="G30" i="36"/>
  <c r="G18" i="36"/>
  <c r="G54" i="36"/>
  <c r="G50" i="36"/>
  <c r="G34" i="36"/>
  <c r="G58" i="36"/>
  <c r="G62" i="36"/>
  <c r="G38" i="36"/>
  <c r="G46" i="36"/>
  <c r="G47" i="36"/>
  <c r="G66" i="36"/>
  <c r="G45" i="36"/>
  <c r="G24" i="36"/>
  <c r="G21" i="36"/>
  <c r="G44" i="36"/>
  <c r="G27" i="36"/>
  <c r="G25" i="36"/>
  <c r="G52" i="36"/>
  <c r="G35" i="36"/>
  <c r="G33" i="36"/>
  <c r="G56" i="36"/>
  <c r="G39" i="36"/>
  <c r="G37" i="36"/>
  <c r="G64" i="36"/>
  <c r="G43" i="36"/>
  <c r="G41" i="36"/>
  <c r="G32" i="36"/>
  <c r="G20" i="36"/>
  <c r="G19" i="36"/>
  <c r="G51" i="36"/>
  <c r="G17" i="36"/>
  <c r="G49" i="36"/>
  <c r="G23" i="36"/>
  <c r="G59" i="36"/>
  <c r="G22" i="36"/>
  <c r="G48" i="36"/>
  <c r="G40" i="36"/>
  <c r="G31" i="36"/>
  <c r="G63" i="36"/>
  <c r="G29" i="36"/>
  <c r="G61" i="36"/>
  <c r="C10" i="36" l="1"/>
</calcChain>
</file>

<file path=xl/sharedStrings.xml><?xml version="1.0" encoding="utf-8"?>
<sst xmlns="http://schemas.openxmlformats.org/spreadsheetml/2006/main" count="24" uniqueCount="23">
  <si>
    <t>CALCULATIONS</t>
  </si>
  <si>
    <t>Independent variable, x</t>
  </si>
  <si>
    <t>Dependent variable, y</t>
  </si>
  <si>
    <t>Data sample (see below)</t>
  </si>
  <si>
    <t>Observation</t>
  </si>
  <si>
    <t>x_i</t>
  </si>
  <si>
    <t>y_i</t>
  </si>
  <si>
    <t>i</t>
  </si>
  <si>
    <t>Observation, i</t>
  </si>
  <si>
    <t>Data</t>
  </si>
  <si>
    <t>Error</t>
  </si>
  <si>
    <t>Squared Error</t>
  </si>
  <si>
    <t>Model Prediction</t>
  </si>
  <si>
    <t>Objective function</t>
  </si>
  <si>
    <t>min value, a</t>
  </si>
  <si>
    <t>max value, b</t>
  </si>
  <si>
    <r>
      <t xml:space="preserve">location paramater, </t>
    </r>
    <r>
      <rPr>
        <b/>
        <sz val="11"/>
        <color theme="1"/>
        <rFont val="Calibri"/>
        <family val="2"/>
      </rPr>
      <t>µ</t>
    </r>
  </si>
  <si>
    <r>
      <t xml:space="preserve">shape paramater, </t>
    </r>
    <r>
      <rPr>
        <b/>
        <sz val="11"/>
        <color theme="1"/>
        <rFont val="Symbol"/>
        <family val="1"/>
        <charset val="2"/>
      </rPr>
      <t>s</t>
    </r>
  </si>
  <si>
    <t>CURVE-FITTING OPTIMIZATION MODEL</t>
  </si>
  <si>
    <t>Parameters</t>
  </si>
  <si>
    <t>Decision variables</t>
  </si>
  <si>
    <t>Constraints</t>
  </si>
  <si>
    <t>None (other than non-negativity)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</si>
</sst>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Symbol"/>
      <family val="1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Border="1"/>
    <xf numFmtId="0" fontId="0" fillId="0" borderId="0" xfId="0" applyFont="1" applyBorder="1"/>
    <xf numFmtId="0" fontId="0" fillId="0" borderId="0" xfId="0" applyFill="1" applyBorder="1"/>
    <xf numFmtId="0" fontId="16" fillId="0" borderId="13" xfId="0" applyFont="1" applyFill="1" applyBorder="1" applyAlignment="1">
      <alignment horizontal="left"/>
    </xf>
    <xf numFmtId="0" fontId="16" fillId="0" borderId="15" xfId="0" applyFont="1" applyFill="1" applyBorder="1" applyAlignment="1">
      <alignment horizontal="left"/>
    </xf>
    <xf numFmtId="0" fontId="16" fillId="0" borderId="17" xfId="0" applyFont="1" applyBorder="1"/>
    <xf numFmtId="10" fontId="0" fillId="0" borderId="0" xfId="42" applyNumberFormat="1" applyFont="1"/>
    <xf numFmtId="0" fontId="0" fillId="0" borderId="0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0" fillId="0" borderId="0" xfId="42" applyNumberFormat="1" applyFont="1" applyAlignment="1">
      <alignment horizontal="center"/>
    </xf>
    <xf numFmtId="0" fontId="18" fillId="0" borderId="0" xfId="0" applyFont="1"/>
    <xf numFmtId="0" fontId="0" fillId="0" borderId="0" xfId="0" applyFont="1"/>
    <xf numFmtId="0" fontId="0" fillId="0" borderId="0" xfId="0" applyFont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left"/>
    </xf>
    <xf numFmtId="0" fontId="18" fillId="0" borderId="0" xfId="0" applyFont="1" applyBorder="1"/>
    <xf numFmtId="2" fontId="20" fillId="0" borderId="18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2" fontId="19" fillId="0" borderId="12" xfId="0" applyNumberFormat="1" applyFont="1" applyBorder="1" applyAlignment="1">
      <alignment horizontal="center"/>
    </xf>
    <xf numFmtId="2" fontId="19" fillId="0" borderId="16" xfId="0" applyNumberFormat="1" applyFont="1" applyBorder="1" applyAlignment="1">
      <alignment horizontal="center"/>
    </xf>
    <xf numFmtId="2" fontId="19" fillId="0" borderId="14" xfId="0" applyNumberFormat="1" applyFont="1" applyBorder="1" applyAlignment="1">
      <alignment horizontal="center"/>
    </xf>
    <xf numFmtId="2" fontId="0" fillId="0" borderId="0" xfId="0" applyNumberFormat="1"/>
    <xf numFmtId="0" fontId="16" fillId="0" borderId="0" xfId="0" applyFont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'Model - s-curve'!$C$17:$C$66</c:f>
              <c:numCache>
                <c:formatCode>0.00</c:formatCode>
                <c:ptCount val="50"/>
                <c:pt idx="0">
                  <c:v>0</c:v>
                </c:pt>
                <c:pt idx="1">
                  <c:v>0.08</c:v>
                </c:pt>
                <c:pt idx="2">
                  <c:v>0.16</c:v>
                </c:pt>
                <c:pt idx="3">
                  <c:v>0.24</c:v>
                </c:pt>
                <c:pt idx="4">
                  <c:v>0.32</c:v>
                </c:pt>
                <c:pt idx="5">
                  <c:v>0.4</c:v>
                </c:pt>
                <c:pt idx="6">
                  <c:v>0.48</c:v>
                </c:pt>
                <c:pt idx="7">
                  <c:v>0.56000000000000005</c:v>
                </c:pt>
                <c:pt idx="8">
                  <c:v>0.64</c:v>
                </c:pt>
                <c:pt idx="9">
                  <c:v>0.72</c:v>
                </c:pt>
                <c:pt idx="10">
                  <c:v>0.8</c:v>
                </c:pt>
                <c:pt idx="11">
                  <c:v>0.88</c:v>
                </c:pt>
                <c:pt idx="12">
                  <c:v>0.96</c:v>
                </c:pt>
                <c:pt idx="13">
                  <c:v>1.04</c:v>
                </c:pt>
                <c:pt idx="14">
                  <c:v>1.1200000000000001</c:v>
                </c:pt>
                <c:pt idx="15">
                  <c:v>1.2</c:v>
                </c:pt>
                <c:pt idx="16">
                  <c:v>1.28</c:v>
                </c:pt>
                <c:pt idx="17">
                  <c:v>1.36</c:v>
                </c:pt>
                <c:pt idx="18">
                  <c:v>1.44</c:v>
                </c:pt>
                <c:pt idx="19">
                  <c:v>1.52</c:v>
                </c:pt>
                <c:pt idx="20">
                  <c:v>1.6</c:v>
                </c:pt>
                <c:pt idx="21">
                  <c:v>1.68</c:v>
                </c:pt>
                <c:pt idx="22">
                  <c:v>1.76</c:v>
                </c:pt>
                <c:pt idx="23">
                  <c:v>1.84</c:v>
                </c:pt>
                <c:pt idx="24">
                  <c:v>1.92</c:v>
                </c:pt>
                <c:pt idx="25">
                  <c:v>2</c:v>
                </c:pt>
                <c:pt idx="26">
                  <c:v>2.08</c:v>
                </c:pt>
                <c:pt idx="27">
                  <c:v>2.16</c:v>
                </c:pt>
                <c:pt idx="28">
                  <c:v>2.2400000000000002</c:v>
                </c:pt>
                <c:pt idx="29">
                  <c:v>2.3199999999999998</c:v>
                </c:pt>
                <c:pt idx="30">
                  <c:v>2.4</c:v>
                </c:pt>
                <c:pt idx="31">
                  <c:v>2.48</c:v>
                </c:pt>
                <c:pt idx="32">
                  <c:v>2.56</c:v>
                </c:pt>
                <c:pt idx="33">
                  <c:v>2.64</c:v>
                </c:pt>
                <c:pt idx="34">
                  <c:v>2.72</c:v>
                </c:pt>
                <c:pt idx="35">
                  <c:v>2.8</c:v>
                </c:pt>
                <c:pt idx="36">
                  <c:v>2.88</c:v>
                </c:pt>
                <c:pt idx="37">
                  <c:v>2.96</c:v>
                </c:pt>
                <c:pt idx="38">
                  <c:v>3.04</c:v>
                </c:pt>
                <c:pt idx="39">
                  <c:v>3.12</c:v>
                </c:pt>
                <c:pt idx="40">
                  <c:v>3.2</c:v>
                </c:pt>
                <c:pt idx="41">
                  <c:v>3.28</c:v>
                </c:pt>
                <c:pt idx="42">
                  <c:v>3.36</c:v>
                </c:pt>
                <c:pt idx="43">
                  <c:v>3.44</c:v>
                </c:pt>
                <c:pt idx="44">
                  <c:v>3.52</c:v>
                </c:pt>
                <c:pt idx="45">
                  <c:v>3.6</c:v>
                </c:pt>
                <c:pt idx="46">
                  <c:v>3.68</c:v>
                </c:pt>
                <c:pt idx="47">
                  <c:v>3.76</c:v>
                </c:pt>
                <c:pt idx="48">
                  <c:v>3.84</c:v>
                </c:pt>
                <c:pt idx="49">
                  <c:v>3.92</c:v>
                </c:pt>
              </c:numCache>
            </c:numRef>
          </c:xVal>
          <c:yVal>
            <c:numRef>
              <c:f>'Model - s-curve'!$D$17:$D$66</c:f>
              <c:numCache>
                <c:formatCode>0.00</c:formatCode>
                <c:ptCount val="50"/>
                <c:pt idx="0">
                  <c:v>6.5333326997231165</c:v>
                </c:pt>
                <c:pt idx="1">
                  <c:v>4.9106617551380047</c:v>
                </c:pt>
                <c:pt idx="2">
                  <c:v>3.9584978577340508</c:v>
                </c:pt>
                <c:pt idx="3">
                  <c:v>3.5636422753922981</c:v>
                </c:pt>
                <c:pt idx="4">
                  <c:v>4.8153251741321776</c:v>
                </c:pt>
                <c:pt idx="5">
                  <c:v>3.6404652941551952</c:v>
                </c:pt>
                <c:pt idx="6">
                  <c:v>3.2500211247116892</c:v>
                </c:pt>
                <c:pt idx="7">
                  <c:v>3.2799784416103162</c:v>
                </c:pt>
                <c:pt idx="8">
                  <c:v>3.082039375241187</c:v>
                </c:pt>
                <c:pt idx="9">
                  <c:v>3.0739179851773533</c:v>
                </c:pt>
                <c:pt idx="10">
                  <c:v>6.3336235943845587</c:v>
                </c:pt>
                <c:pt idx="11">
                  <c:v>6.4591738655464681</c:v>
                </c:pt>
                <c:pt idx="12">
                  <c:v>4.9234486100131569</c:v>
                </c:pt>
                <c:pt idx="13">
                  <c:v>3.6544631571501189</c:v>
                </c:pt>
                <c:pt idx="14">
                  <c:v>3.3553648911117429</c:v>
                </c:pt>
                <c:pt idx="15">
                  <c:v>4.3361423650625079</c:v>
                </c:pt>
                <c:pt idx="16">
                  <c:v>7.034549584134842</c:v>
                </c:pt>
                <c:pt idx="17">
                  <c:v>4.3927513484621041</c:v>
                </c:pt>
                <c:pt idx="18">
                  <c:v>7.2491599133490698</c:v>
                </c:pt>
                <c:pt idx="19">
                  <c:v>4.9323546152747921</c:v>
                </c:pt>
                <c:pt idx="20">
                  <c:v>5.8140571875103424</c:v>
                </c:pt>
                <c:pt idx="21">
                  <c:v>4.4699697688995768</c:v>
                </c:pt>
                <c:pt idx="22">
                  <c:v>7.0703562593112483</c:v>
                </c:pt>
                <c:pt idx="23">
                  <c:v>8.6897955331264711</c:v>
                </c:pt>
                <c:pt idx="24">
                  <c:v>5.9691201040414583</c:v>
                </c:pt>
                <c:pt idx="25">
                  <c:v>7.0925274531695592</c:v>
                </c:pt>
                <c:pt idx="26">
                  <c:v>9.2417628992867034</c:v>
                </c:pt>
                <c:pt idx="27">
                  <c:v>9.8181392758882389</c:v>
                </c:pt>
                <c:pt idx="28">
                  <c:v>6.4498724056380627</c:v>
                </c:pt>
                <c:pt idx="29">
                  <c:v>10.325110300960441</c:v>
                </c:pt>
                <c:pt idx="30">
                  <c:v>8.8555559292793404</c:v>
                </c:pt>
                <c:pt idx="31">
                  <c:v>11.036993261558786</c:v>
                </c:pt>
                <c:pt idx="32">
                  <c:v>9.9040219387859363</c:v>
                </c:pt>
                <c:pt idx="33">
                  <c:v>10.625098350194836</c:v>
                </c:pt>
                <c:pt idx="34">
                  <c:v>8.9388296357051225</c:v>
                </c:pt>
                <c:pt idx="35">
                  <c:v>9.2213244464266637</c:v>
                </c:pt>
                <c:pt idx="36">
                  <c:v>7.7935821651204646</c:v>
                </c:pt>
                <c:pt idx="37">
                  <c:v>10.290608274850436</c:v>
                </c:pt>
                <c:pt idx="38">
                  <c:v>8.3993898893174084</c:v>
                </c:pt>
                <c:pt idx="39">
                  <c:v>7.9235071346479966</c:v>
                </c:pt>
                <c:pt idx="40">
                  <c:v>8.3648574474390216</c:v>
                </c:pt>
                <c:pt idx="41">
                  <c:v>9.9638254420188925</c:v>
                </c:pt>
                <c:pt idx="42">
                  <c:v>9.1487775375491793</c:v>
                </c:pt>
                <c:pt idx="43">
                  <c:v>8.2929648291678397</c:v>
                </c:pt>
                <c:pt idx="44">
                  <c:v>11.613447543317012</c:v>
                </c:pt>
                <c:pt idx="45">
                  <c:v>9.0063599394361287</c:v>
                </c:pt>
                <c:pt idx="46">
                  <c:v>8.2756078667866966</c:v>
                </c:pt>
                <c:pt idx="47">
                  <c:v>9.5936107228265701</c:v>
                </c:pt>
                <c:pt idx="48">
                  <c:v>11.940842183783897</c:v>
                </c:pt>
                <c:pt idx="49">
                  <c:v>11.787061296216699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5-44F8-B4C1-9D183830E224}"/>
            </c:ext>
          </c:extLst>
        </c:ser>
        <c:ser>
          <c:idx val="1"/>
          <c:order val="1"/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'Model - s-curve'!$C$17:$C$66</c:f>
              <c:numCache>
                <c:formatCode>0.00</c:formatCode>
                <c:ptCount val="50"/>
                <c:pt idx="0">
                  <c:v>0</c:v>
                </c:pt>
                <c:pt idx="1">
                  <c:v>0.08</c:v>
                </c:pt>
                <c:pt idx="2">
                  <c:v>0.16</c:v>
                </c:pt>
                <c:pt idx="3">
                  <c:v>0.24</c:v>
                </c:pt>
                <c:pt idx="4">
                  <c:v>0.32</c:v>
                </c:pt>
                <c:pt idx="5">
                  <c:v>0.4</c:v>
                </c:pt>
                <c:pt idx="6">
                  <c:v>0.48</c:v>
                </c:pt>
                <c:pt idx="7">
                  <c:v>0.56000000000000005</c:v>
                </c:pt>
                <c:pt idx="8">
                  <c:v>0.64</c:v>
                </c:pt>
                <c:pt idx="9">
                  <c:v>0.72</c:v>
                </c:pt>
                <c:pt idx="10">
                  <c:v>0.8</c:v>
                </c:pt>
                <c:pt idx="11">
                  <c:v>0.88</c:v>
                </c:pt>
                <c:pt idx="12">
                  <c:v>0.96</c:v>
                </c:pt>
                <c:pt idx="13">
                  <c:v>1.04</c:v>
                </c:pt>
                <c:pt idx="14">
                  <c:v>1.1200000000000001</c:v>
                </c:pt>
                <c:pt idx="15">
                  <c:v>1.2</c:v>
                </c:pt>
                <c:pt idx="16">
                  <c:v>1.28</c:v>
                </c:pt>
                <c:pt idx="17">
                  <c:v>1.36</c:v>
                </c:pt>
                <c:pt idx="18">
                  <c:v>1.44</c:v>
                </c:pt>
                <c:pt idx="19">
                  <c:v>1.52</c:v>
                </c:pt>
                <c:pt idx="20">
                  <c:v>1.6</c:v>
                </c:pt>
                <c:pt idx="21">
                  <c:v>1.68</c:v>
                </c:pt>
                <c:pt idx="22">
                  <c:v>1.76</c:v>
                </c:pt>
                <c:pt idx="23">
                  <c:v>1.84</c:v>
                </c:pt>
                <c:pt idx="24">
                  <c:v>1.92</c:v>
                </c:pt>
                <c:pt idx="25">
                  <c:v>2</c:v>
                </c:pt>
                <c:pt idx="26">
                  <c:v>2.08</c:v>
                </c:pt>
                <c:pt idx="27">
                  <c:v>2.16</c:v>
                </c:pt>
                <c:pt idx="28">
                  <c:v>2.2400000000000002</c:v>
                </c:pt>
                <c:pt idx="29">
                  <c:v>2.3199999999999998</c:v>
                </c:pt>
                <c:pt idx="30">
                  <c:v>2.4</c:v>
                </c:pt>
                <c:pt idx="31">
                  <c:v>2.48</c:v>
                </c:pt>
                <c:pt idx="32">
                  <c:v>2.56</c:v>
                </c:pt>
                <c:pt idx="33">
                  <c:v>2.64</c:v>
                </c:pt>
                <c:pt idx="34">
                  <c:v>2.72</c:v>
                </c:pt>
                <c:pt idx="35">
                  <c:v>2.8</c:v>
                </c:pt>
                <c:pt idx="36">
                  <c:v>2.88</c:v>
                </c:pt>
                <c:pt idx="37">
                  <c:v>2.96</c:v>
                </c:pt>
                <c:pt idx="38">
                  <c:v>3.04</c:v>
                </c:pt>
                <c:pt idx="39">
                  <c:v>3.12</c:v>
                </c:pt>
                <c:pt idx="40">
                  <c:v>3.2</c:v>
                </c:pt>
                <c:pt idx="41">
                  <c:v>3.28</c:v>
                </c:pt>
                <c:pt idx="42">
                  <c:v>3.36</c:v>
                </c:pt>
                <c:pt idx="43">
                  <c:v>3.44</c:v>
                </c:pt>
                <c:pt idx="44">
                  <c:v>3.52</c:v>
                </c:pt>
                <c:pt idx="45">
                  <c:v>3.6</c:v>
                </c:pt>
                <c:pt idx="46">
                  <c:v>3.68</c:v>
                </c:pt>
                <c:pt idx="47">
                  <c:v>3.76</c:v>
                </c:pt>
                <c:pt idx="48">
                  <c:v>3.84</c:v>
                </c:pt>
                <c:pt idx="49">
                  <c:v>3.92</c:v>
                </c:pt>
              </c:numCache>
            </c:numRef>
          </c:xVal>
          <c:yVal>
            <c:numRef>
              <c:f>'Model - s-curve'!$E$17:$E$66</c:f>
              <c:numCache>
                <c:formatCode>0.00</c:formatCode>
                <c:ptCount val="50"/>
                <c:pt idx="0">
                  <c:v>2.6894142136999513</c:v>
                </c:pt>
                <c:pt idx="1">
                  <c:v>2.8495789429901026</c:v>
                </c:pt>
                <c:pt idx="2">
                  <c:v>3.0153478399746123</c:v>
                </c:pt>
                <c:pt idx="3">
                  <c:v>3.1864626621097445</c:v>
                </c:pt>
                <c:pt idx="4">
                  <c:v>3.3626130259564739</c:v>
                </c:pt>
                <c:pt idx="5">
                  <c:v>3.5434369377420452</c:v>
                </c:pt>
                <c:pt idx="6">
                  <c:v>3.7285223368680445</c:v>
                </c:pt>
                <c:pt idx="7">
                  <c:v>3.9174096925348558</c:v>
                </c:pt>
                <c:pt idx="8">
                  <c:v>4.1095956594133485</c:v>
                </c:pt>
                <c:pt idx="9">
                  <c:v>4.30453776060771</c:v>
                </c:pt>
                <c:pt idx="10">
                  <c:v>4.5016600268752205</c:v>
                </c:pt>
                <c:pt idx="11">
                  <c:v>4.7003594823542825</c:v>
                </c:pt>
                <c:pt idx="12">
                  <c:v>4.9000133312003458</c:v>
                </c:pt>
                <c:pt idx="13">
                  <c:v>5.0999866687996551</c:v>
                </c:pt>
                <c:pt idx="14">
                  <c:v>5.2996405176457175</c:v>
                </c:pt>
                <c:pt idx="15">
                  <c:v>5.4983399731247795</c:v>
                </c:pt>
                <c:pt idx="16">
                  <c:v>5.69546223939229</c:v>
                </c:pt>
                <c:pt idx="17">
                  <c:v>5.8904043405866515</c:v>
                </c:pt>
                <c:pt idx="18">
                  <c:v>6.0825903074651437</c:v>
                </c:pt>
                <c:pt idx="19">
                  <c:v>6.2714776631319555</c:v>
                </c:pt>
                <c:pt idx="20">
                  <c:v>6.4565630622579544</c:v>
                </c:pt>
                <c:pt idx="21">
                  <c:v>6.6373869740435261</c:v>
                </c:pt>
                <c:pt idx="22">
                  <c:v>6.8135373378902555</c:v>
                </c:pt>
                <c:pt idx="23">
                  <c:v>6.9846521600253881</c:v>
                </c:pt>
                <c:pt idx="24">
                  <c:v>7.1504210570098969</c:v>
                </c:pt>
                <c:pt idx="25">
                  <c:v>7.3105857863000487</c:v>
                </c:pt>
                <c:pt idx="26">
                  <c:v>7.4649398333766221</c:v>
                </c:pt>
                <c:pt idx="27">
                  <c:v>7.6133271484291045</c:v>
                </c:pt>
                <c:pt idx="28">
                  <c:v>7.7556401426907353</c:v>
                </c:pt>
                <c:pt idx="29">
                  <c:v>7.8918170652225275</c:v>
                </c:pt>
                <c:pt idx="30">
                  <c:v>8.0218388855858187</c:v>
                </c:pt>
                <c:pt idx="31">
                  <c:v>8.1457258070701783</c:v>
                </c:pt>
                <c:pt idx="32">
                  <c:v>8.2635335298099495</c:v>
                </c:pt>
                <c:pt idx="33">
                  <c:v>8.3753493741930392</c:v>
                </c:pt>
                <c:pt idx="34">
                  <c:v>8.4812883634334071</c:v>
                </c:pt>
                <c:pt idx="35">
                  <c:v>8.5814893509951222</c:v>
                </c:pt>
                <c:pt idx="36">
                  <c:v>8.6761112645793474</c:v>
                </c:pt>
                <c:pt idx="37">
                  <c:v>8.7653295243477594</c:v>
                </c:pt>
                <c:pt idx="38">
                  <c:v>8.8493326795445011</c:v>
                </c:pt>
                <c:pt idx="39">
                  <c:v>8.9283192951347186</c:v>
                </c:pt>
                <c:pt idx="40">
                  <c:v>9.0024951088031493</c:v>
                </c:pt>
                <c:pt idx="41">
                  <c:v>9.0720704688284304</c:v>
                </c:pt>
                <c:pt idx="42">
                  <c:v>9.1372580550408333</c:v>
                </c:pt>
                <c:pt idx="43">
                  <c:v>9.1982708782718774</c:v>
                </c:pt>
                <c:pt idx="44">
                  <c:v>9.2553205483397196</c:v>
                </c:pt>
                <c:pt idx="45">
                  <c:v>9.3086157965665315</c:v>
                </c:pt>
                <c:pt idx="46">
                  <c:v>9.3583612359482604</c:v>
                </c:pt>
                <c:pt idx="47">
                  <c:v>9.4047563402349841</c:v>
                </c:pt>
                <c:pt idx="48">
                  <c:v>9.4479946221706577</c:v>
                </c:pt>
                <c:pt idx="49">
                  <c:v>9.4882629908290834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5-44F8-B4C1-9D183830E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9351248"/>
        <c:axId val="659351640"/>
      </c:scatterChart>
      <c:valAx>
        <c:axId val="65935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351640"/>
        <c:crosses val="autoZero"/>
        <c:crossBetween val="midCat"/>
      </c:valAx>
      <c:valAx>
        <c:axId val="659351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35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931545</xdr:colOff>
      <xdr:row>4</xdr:row>
      <xdr:rowOff>60960</xdr:rowOff>
    </xdr:from>
    <xdr:ext cx="2771775" cy="6799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5236845" y="822960"/>
              <a:ext cx="2771775" cy="67993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+(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)</m:t>
                    </m:r>
                    <m:f>
                      <m:f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</m:e>
                          <m:sup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𝜇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)/</m:t>
                            </m:r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1+</m:t>
                            </m:r>
                            <m:r>
                              <a:rPr lang="en-U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p>
                            <m:r>
                              <a:rPr lang="en-U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n-U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en-U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en-U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𝜇</m:t>
                            </m:r>
                            <m:r>
                              <a:rPr lang="en-U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)/</m:t>
                            </m:r>
                            <m:r>
                              <a:rPr lang="en-US" sz="20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𝜎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5236845" y="822960"/>
              <a:ext cx="2771775" cy="67993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𝑎+(𝑏−𝑎)𝑒^((𝑥−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𝜇)/𝜎)/</a:t>
              </a:r>
              <a:r>
                <a:rPr lang="en-US" sz="20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〖1+𝑒〗^((𝑥−𝜇)/𝜎) </a:t>
              </a:r>
              <a:endParaRPr lang="en-US" sz="20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8412" cy="628276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workbookViewId="0">
      <selection activeCell="A2" sqref="A2"/>
    </sheetView>
  </sheetViews>
  <sheetFormatPr defaultRowHeight="14.4" x14ac:dyDescent="0.3"/>
  <cols>
    <col min="1" max="1" width="16.6640625" customWidth="1"/>
    <col min="2" max="3" width="18.33203125" style="1" customWidth="1"/>
  </cols>
  <sheetData>
    <row r="1" spans="1:4" ht="42.75" customHeight="1" x14ac:dyDescent="0.25">
      <c r="A1" s="20" t="s">
        <v>8</v>
      </c>
      <c r="B1" s="20" t="s">
        <v>1</v>
      </c>
      <c r="C1" s="20" t="s">
        <v>2</v>
      </c>
    </row>
    <row r="2" spans="1:4" ht="15" x14ac:dyDescent="0.25">
      <c r="A2" s="18">
        <v>1</v>
      </c>
      <c r="B2" s="11">
        <v>0</v>
      </c>
      <c r="C2" s="12">
        <v>6.5333326997231165</v>
      </c>
      <c r="D2" s="10"/>
    </row>
    <row r="3" spans="1:4" ht="15" x14ac:dyDescent="0.25">
      <c r="A3" s="18">
        <v>2</v>
      </c>
      <c r="B3" s="11">
        <v>0.08</v>
      </c>
      <c r="C3" s="13">
        <v>4.9106617551380047</v>
      </c>
      <c r="D3" s="9"/>
    </row>
    <row r="4" spans="1:4" ht="15" x14ac:dyDescent="0.25">
      <c r="A4" s="18">
        <v>3</v>
      </c>
      <c r="B4" s="11">
        <v>0.16</v>
      </c>
      <c r="C4" s="11">
        <v>3.9584978577340508</v>
      </c>
    </row>
    <row r="5" spans="1:4" ht="15" x14ac:dyDescent="0.25">
      <c r="A5" s="18">
        <v>4</v>
      </c>
      <c r="B5" s="11">
        <v>0.24</v>
      </c>
      <c r="C5" s="11">
        <v>3.5636422753922981</v>
      </c>
    </row>
    <row r="6" spans="1:4" ht="15" x14ac:dyDescent="0.25">
      <c r="A6" s="18">
        <v>5</v>
      </c>
      <c r="B6" s="11">
        <v>0.32</v>
      </c>
      <c r="C6" s="11">
        <v>4.8153251741321776</v>
      </c>
    </row>
    <row r="7" spans="1:4" ht="15" x14ac:dyDescent="0.25">
      <c r="A7" s="18">
        <v>6</v>
      </c>
      <c r="B7" s="11">
        <v>0.4</v>
      </c>
      <c r="C7" s="11">
        <v>3.6404652941551952</v>
      </c>
    </row>
    <row r="8" spans="1:4" ht="15" x14ac:dyDescent="0.25">
      <c r="A8" s="18">
        <v>7</v>
      </c>
      <c r="B8" s="11">
        <v>0.48</v>
      </c>
      <c r="C8" s="11">
        <v>3.2500211247116892</v>
      </c>
    </row>
    <row r="9" spans="1:4" ht="15" x14ac:dyDescent="0.25">
      <c r="A9" s="18">
        <v>8</v>
      </c>
      <c r="B9" s="11">
        <v>0.56000000000000005</v>
      </c>
      <c r="C9" s="11">
        <v>3.2799784416103162</v>
      </c>
    </row>
    <row r="10" spans="1:4" ht="15" x14ac:dyDescent="0.25">
      <c r="A10" s="18">
        <v>9</v>
      </c>
      <c r="B10" s="11">
        <v>0.64</v>
      </c>
      <c r="C10" s="11">
        <v>3.082039375241187</v>
      </c>
    </row>
    <row r="11" spans="1:4" ht="15" x14ac:dyDescent="0.25">
      <c r="A11" s="18">
        <v>10</v>
      </c>
      <c r="B11" s="11">
        <v>0.72</v>
      </c>
      <c r="C11" s="11">
        <v>3.0739179851773533</v>
      </c>
    </row>
    <row r="12" spans="1:4" ht="15" x14ac:dyDescent="0.25">
      <c r="A12" s="18">
        <v>11</v>
      </c>
      <c r="B12" s="11">
        <v>0.8</v>
      </c>
      <c r="C12" s="11">
        <v>6.3336235943845587</v>
      </c>
    </row>
    <row r="13" spans="1:4" ht="15" x14ac:dyDescent="0.25">
      <c r="A13" s="18">
        <v>12</v>
      </c>
      <c r="B13" s="11">
        <v>0.88</v>
      </c>
      <c r="C13" s="11">
        <v>6.4591738655464681</v>
      </c>
    </row>
    <row r="14" spans="1:4" ht="15" x14ac:dyDescent="0.25">
      <c r="A14" s="18">
        <v>13</v>
      </c>
      <c r="B14" s="11">
        <v>0.96</v>
      </c>
      <c r="C14" s="11">
        <v>4.9234486100131569</v>
      </c>
    </row>
    <row r="15" spans="1:4" ht="15" x14ac:dyDescent="0.25">
      <c r="A15" s="18">
        <v>14</v>
      </c>
      <c r="B15" s="11">
        <v>1.04</v>
      </c>
      <c r="C15" s="11">
        <v>3.6544631571501189</v>
      </c>
    </row>
    <row r="16" spans="1:4" ht="15" x14ac:dyDescent="0.25">
      <c r="A16" s="18">
        <v>15</v>
      </c>
      <c r="B16" s="11">
        <v>1.1200000000000001</v>
      </c>
      <c r="C16" s="11">
        <v>3.3553648911117429</v>
      </c>
    </row>
    <row r="17" spans="1:3" ht="15" x14ac:dyDescent="0.25">
      <c r="A17" s="18">
        <v>16</v>
      </c>
      <c r="B17" s="11">
        <v>1.2</v>
      </c>
      <c r="C17" s="11">
        <v>4.3361423650625079</v>
      </c>
    </row>
    <row r="18" spans="1:3" ht="15" x14ac:dyDescent="0.25">
      <c r="A18" s="18">
        <v>17</v>
      </c>
      <c r="B18" s="11">
        <v>1.28</v>
      </c>
      <c r="C18" s="11">
        <v>7.034549584134842</v>
      </c>
    </row>
    <row r="19" spans="1:3" ht="15" x14ac:dyDescent="0.25">
      <c r="A19" s="18">
        <v>18</v>
      </c>
      <c r="B19" s="11">
        <v>1.36</v>
      </c>
      <c r="C19" s="11">
        <v>4.3927513484621041</v>
      </c>
    </row>
    <row r="20" spans="1:3" x14ac:dyDescent="0.3">
      <c r="A20" s="18">
        <v>19</v>
      </c>
      <c r="B20" s="11">
        <v>1.44</v>
      </c>
      <c r="C20" s="11">
        <v>7.2491599133490698</v>
      </c>
    </row>
    <row r="21" spans="1:3" x14ac:dyDescent="0.3">
      <c r="A21" s="18">
        <v>20</v>
      </c>
      <c r="B21" s="11">
        <v>1.52</v>
      </c>
      <c r="C21" s="11">
        <v>4.9323546152747921</v>
      </c>
    </row>
    <row r="22" spans="1:3" x14ac:dyDescent="0.3">
      <c r="A22" s="18">
        <v>21</v>
      </c>
      <c r="B22" s="11">
        <v>1.6</v>
      </c>
      <c r="C22" s="11">
        <v>5.8140571875103424</v>
      </c>
    </row>
    <row r="23" spans="1:3" x14ac:dyDescent="0.3">
      <c r="A23" s="18">
        <v>22</v>
      </c>
      <c r="B23" s="11">
        <v>1.68</v>
      </c>
      <c r="C23" s="11">
        <v>4.4699697688995768</v>
      </c>
    </row>
    <row r="24" spans="1:3" x14ac:dyDescent="0.3">
      <c r="A24" s="18">
        <v>23</v>
      </c>
      <c r="B24" s="11">
        <v>1.76</v>
      </c>
      <c r="C24" s="11">
        <v>7.0703562593112483</v>
      </c>
    </row>
    <row r="25" spans="1:3" x14ac:dyDescent="0.3">
      <c r="A25" s="18">
        <v>24</v>
      </c>
      <c r="B25" s="11">
        <v>1.84</v>
      </c>
      <c r="C25" s="11">
        <v>8.6897955331264711</v>
      </c>
    </row>
    <row r="26" spans="1:3" x14ac:dyDescent="0.3">
      <c r="A26" s="18">
        <v>25</v>
      </c>
      <c r="B26" s="11">
        <v>1.92</v>
      </c>
      <c r="C26" s="11">
        <v>5.9691201040414583</v>
      </c>
    </row>
    <row r="27" spans="1:3" x14ac:dyDescent="0.3">
      <c r="A27" s="18">
        <v>26</v>
      </c>
      <c r="B27" s="11">
        <v>2</v>
      </c>
      <c r="C27" s="11">
        <v>7.0925274531695592</v>
      </c>
    </row>
    <row r="28" spans="1:3" x14ac:dyDescent="0.3">
      <c r="A28" s="18">
        <v>27</v>
      </c>
      <c r="B28" s="11">
        <v>2.08</v>
      </c>
      <c r="C28" s="11">
        <v>9.2417628992867034</v>
      </c>
    </row>
    <row r="29" spans="1:3" x14ac:dyDescent="0.3">
      <c r="A29" s="18">
        <v>28</v>
      </c>
      <c r="B29" s="11">
        <v>2.16</v>
      </c>
      <c r="C29" s="11">
        <v>9.8181392758882389</v>
      </c>
    </row>
    <row r="30" spans="1:3" x14ac:dyDescent="0.3">
      <c r="A30" s="18">
        <v>29</v>
      </c>
      <c r="B30" s="11">
        <v>2.2400000000000002</v>
      </c>
      <c r="C30" s="11">
        <v>6.4498724056380627</v>
      </c>
    </row>
    <row r="31" spans="1:3" x14ac:dyDescent="0.3">
      <c r="A31" s="18">
        <v>30</v>
      </c>
      <c r="B31" s="11">
        <v>2.3199999999999998</v>
      </c>
      <c r="C31" s="11">
        <v>10.325110300960441</v>
      </c>
    </row>
    <row r="32" spans="1:3" x14ac:dyDescent="0.3">
      <c r="A32" s="18">
        <v>31</v>
      </c>
      <c r="B32" s="11">
        <v>2.4</v>
      </c>
      <c r="C32" s="11">
        <v>8.8555559292793404</v>
      </c>
    </row>
    <row r="33" spans="1:3" x14ac:dyDescent="0.3">
      <c r="A33" s="18">
        <v>32</v>
      </c>
      <c r="B33" s="11">
        <v>2.48</v>
      </c>
      <c r="C33" s="11">
        <v>11.036993261558786</v>
      </c>
    </row>
    <row r="34" spans="1:3" x14ac:dyDescent="0.3">
      <c r="A34" s="18">
        <v>33</v>
      </c>
      <c r="B34" s="11">
        <v>2.56</v>
      </c>
      <c r="C34" s="11">
        <v>9.9040219387859363</v>
      </c>
    </row>
    <row r="35" spans="1:3" x14ac:dyDescent="0.3">
      <c r="A35" s="18">
        <v>34</v>
      </c>
      <c r="B35" s="11">
        <v>2.64</v>
      </c>
      <c r="C35" s="11">
        <v>10.625098350194836</v>
      </c>
    </row>
    <row r="36" spans="1:3" x14ac:dyDescent="0.3">
      <c r="A36" s="18">
        <v>35</v>
      </c>
      <c r="B36" s="11">
        <v>2.72</v>
      </c>
      <c r="C36" s="11">
        <v>8.9388296357051225</v>
      </c>
    </row>
    <row r="37" spans="1:3" x14ac:dyDescent="0.3">
      <c r="A37" s="18">
        <v>36</v>
      </c>
      <c r="B37" s="11">
        <v>2.8</v>
      </c>
      <c r="C37" s="11">
        <v>9.2213244464266637</v>
      </c>
    </row>
    <row r="38" spans="1:3" x14ac:dyDescent="0.3">
      <c r="A38" s="18">
        <v>37</v>
      </c>
      <c r="B38" s="11">
        <v>2.88</v>
      </c>
      <c r="C38" s="11">
        <v>7.7935821651204646</v>
      </c>
    </row>
    <row r="39" spans="1:3" x14ac:dyDescent="0.3">
      <c r="A39" s="18">
        <v>38</v>
      </c>
      <c r="B39" s="11">
        <v>2.96</v>
      </c>
      <c r="C39" s="11">
        <v>10.290608274850436</v>
      </c>
    </row>
    <row r="40" spans="1:3" x14ac:dyDescent="0.3">
      <c r="A40" s="18">
        <v>39</v>
      </c>
      <c r="B40" s="11">
        <v>3.04</v>
      </c>
      <c r="C40" s="11">
        <v>8.3993898893174084</v>
      </c>
    </row>
    <row r="41" spans="1:3" x14ac:dyDescent="0.3">
      <c r="A41" s="18">
        <v>40</v>
      </c>
      <c r="B41" s="11">
        <v>3.12</v>
      </c>
      <c r="C41" s="11">
        <v>7.9235071346479966</v>
      </c>
    </row>
    <row r="42" spans="1:3" x14ac:dyDescent="0.3">
      <c r="A42" s="18">
        <v>41</v>
      </c>
      <c r="B42" s="11">
        <v>3.2</v>
      </c>
      <c r="C42" s="11">
        <v>8.3648574474390216</v>
      </c>
    </row>
    <row r="43" spans="1:3" x14ac:dyDescent="0.3">
      <c r="A43" s="18">
        <v>42</v>
      </c>
      <c r="B43" s="11">
        <v>3.28</v>
      </c>
      <c r="C43" s="11">
        <v>9.9638254420188925</v>
      </c>
    </row>
    <row r="44" spans="1:3" x14ac:dyDescent="0.3">
      <c r="A44" s="18">
        <v>43</v>
      </c>
      <c r="B44" s="11">
        <v>3.36</v>
      </c>
      <c r="C44" s="11">
        <v>9.1487775375491793</v>
      </c>
    </row>
    <row r="45" spans="1:3" x14ac:dyDescent="0.3">
      <c r="A45" s="18">
        <v>44</v>
      </c>
      <c r="B45" s="11">
        <v>3.44</v>
      </c>
      <c r="C45" s="11">
        <v>8.2929648291678397</v>
      </c>
    </row>
    <row r="46" spans="1:3" x14ac:dyDescent="0.3">
      <c r="A46" s="18">
        <v>45</v>
      </c>
      <c r="B46" s="11">
        <v>3.52</v>
      </c>
      <c r="C46" s="11">
        <v>11.613447543317012</v>
      </c>
    </row>
    <row r="47" spans="1:3" x14ac:dyDescent="0.3">
      <c r="A47" s="18">
        <v>46</v>
      </c>
      <c r="B47" s="11">
        <v>3.6</v>
      </c>
      <c r="C47" s="11">
        <v>9.0063599394361287</v>
      </c>
    </row>
    <row r="48" spans="1:3" x14ac:dyDescent="0.3">
      <c r="A48" s="18">
        <v>47</v>
      </c>
      <c r="B48" s="11">
        <v>3.68</v>
      </c>
      <c r="C48" s="11">
        <v>8.2756078667866966</v>
      </c>
    </row>
    <row r="49" spans="1:3" x14ac:dyDescent="0.3">
      <c r="A49" s="18">
        <v>48</v>
      </c>
      <c r="B49" s="11">
        <v>3.76</v>
      </c>
      <c r="C49" s="11">
        <v>9.5936107228265701</v>
      </c>
    </row>
    <row r="50" spans="1:3" x14ac:dyDescent="0.3">
      <c r="A50" s="18">
        <v>49</v>
      </c>
      <c r="B50" s="11">
        <v>3.84</v>
      </c>
      <c r="C50" s="11">
        <v>11.940842183783897</v>
      </c>
    </row>
    <row r="51" spans="1:3" x14ac:dyDescent="0.3">
      <c r="A51" s="18">
        <v>50</v>
      </c>
      <c r="B51" s="11">
        <v>3.92</v>
      </c>
      <c r="C51" s="11">
        <v>11.787061296216699</v>
      </c>
    </row>
    <row r="52" spans="1:3" x14ac:dyDescent="0.3">
      <c r="B52" s="11"/>
      <c r="C52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65533"/>
  <sheetViews>
    <sheetView workbookViewId="0">
      <selection activeCell="C9" sqref="C9"/>
    </sheetView>
  </sheetViews>
  <sheetFormatPr defaultRowHeight="14.4" x14ac:dyDescent="0.3"/>
  <cols>
    <col min="1" max="1" width="34.5546875" bestFit="1" customWidth="1"/>
    <col min="2" max="2" width="33.33203125" customWidth="1"/>
    <col min="3" max="4" width="13.88671875" customWidth="1"/>
    <col min="5" max="8" width="10.5546875" customWidth="1"/>
  </cols>
  <sheetData>
    <row r="1" spans="1:8" ht="15" x14ac:dyDescent="0.25">
      <c r="A1" s="2" t="s">
        <v>18</v>
      </c>
    </row>
    <row r="3" spans="1:8" x14ac:dyDescent="0.3">
      <c r="A3" s="3" t="s">
        <v>19</v>
      </c>
      <c r="B3" s="14" t="s">
        <v>3</v>
      </c>
    </row>
    <row r="4" spans="1:8" ht="15" thickBot="1" x14ac:dyDescent="0.35">
      <c r="B4" s="5"/>
    </row>
    <row r="5" spans="1:8" x14ac:dyDescent="0.3">
      <c r="A5" s="2" t="s">
        <v>20</v>
      </c>
      <c r="B5" s="21" t="s">
        <v>14</v>
      </c>
      <c r="C5" s="25">
        <v>0</v>
      </c>
    </row>
    <row r="6" spans="1:8" x14ac:dyDescent="0.3">
      <c r="A6" s="3"/>
      <c r="B6" s="6" t="s">
        <v>15</v>
      </c>
      <c r="C6" s="27">
        <v>10</v>
      </c>
    </row>
    <row r="7" spans="1:8" x14ac:dyDescent="0.3">
      <c r="A7" s="3"/>
      <c r="B7" s="6" t="s">
        <v>16</v>
      </c>
      <c r="C7" s="27">
        <v>1</v>
      </c>
    </row>
    <row r="8" spans="1:8" ht="15.75" thickBot="1" x14ac:dyDescent="0.3">
      <c r="A8" s="3"/>
      <c r="B8" s="7" t="s">
        <v>17</v>
      </c>
      <c r="C8" s="26">
        <v>1</v>
      </c>
    </row>
    <row r="9" spans="1:8" ht="15" thickBot="1" x14ac:dyDescent="0.35">
      <c r="A9" s="2"/>
      <c r="B9" s="4"/>
    </row>
    <row r="10" spans="1:8" ht="15" thickBot="1" x14ac:dyDescent="0.35">
      <c r="A10" s="2" t="s">
        <v>13</v>
      </c>
      <c r="B10" s="8" t="s">
        <v>13</v>
      </c>
      <c r="C10" s="23">
        <f>SUM(G17:G66)</f>
        <v>113.53662173732702</v>
      </c>
    </row>
    <row r="11" spans="1:8" x14ac:dyDescent="0.3">
      <c r="B11" s="3"/>
      <c r="C11" s="24"/>
    </row>
    <row r="12" spans="1:8" ht="15" x14ac:dyDescent="0.25">
      <c r="A12" s="2" t="s">
        <v>21</v>
      </c>
      <c r="B12" s="22" t="s">
        <v>22</v>
      </c>
      <c r="C12" s="28"/>
    </row>
    <row r="13" spans="1:8" ht="15" x14ac:dyDescent="0.25">
      <c r="A13" s="2"/>
      <c r="B13" s="3"/>
    </row>
    <row r="14" spans="1:8" ht="15" x14ac:dyDescent="0.25">
      <c r="A14" s="2" t="s">
        <v>0</v>
      </c>
      <c r="B14" s="4"/>
    </row>
    <row r="15" spans="1:8" s="15" customFormat="1" x14ac:dyDescent="0.3">
      <c r="B15" s="19" t="s">
        <v>4</v>
      </c>
      <c r="C15" s="29" t="s">
        <v>9</v>
      </c>
      <c r="D15" s="29"/>
      <c r="E15" s="29" t="s">
        <v>12</v>
      </c>
      <c r="F15" s="29" t="s">
        <v>10</v>
      </c>
      <c r="G15" s="29" t="s">
        <v>11</v>
      </c>
      <c r="H15" s="29"/>
    </row>
    <row r="16" spans="1:8" s="15" customFormat="1" x14ac:dyDescent="0.3">
      <c r="B16" s="20" t="s">
        <v>7</v>
      </c>
      <c r="C16" s="20" t="s">
        <v>5</v>
      </c>
      <c r="D16" s="20" t="s">
        <v>6</v>
      </c>
      <c r="E16" s="30"/>
      <c r="F16" s="30"/>
      <c r="G16" s="30"/>
      <c r="H16" s="30"/>
    </row>
    <row r="17" spans="2:8" s="15" customFormat="1" ht="15" x14ac:dyDescent="0.25">
      <c r="B17" s="16">
        <f>Data!A2</f>
        <v>1</v>
      </c>
      <c r="C17" s="17">
        <f>Data!B2</f>
        <v>0</v>
      </c>
      <c r="D17" s="17">
        <f>Data!C2</f>
        <v>6.5333326997231165</v>
      </c>
      <c r="E17" s="17">
        <f>$C$5+($C$6-$C$5)*EXP((C17-$C$7)/$C$8)/(1+EXP((C17-$C$7)/$C$8))</f>
        <v>2.6894142136999513</v>
      </c>
      <c r="F17" s="17">
        <f>E17-D17</f>
        <v>-3.8439184860231652</v>
      </c>
      <c r="G17" s="17">
        <f>F17^2</f>
        <v>14.775709327190622</v>
      </c>
      <c r="H17" s="17"/>
    </row>
    <row r="18" spans="2:8" s="15" customFormat="1" ht="15" x14ac:dyDescent="0.25">
      <c r="B18" s="16">
        <f>Data!A3</f>
        <v>2</v>
      </c>
      <c r="C18" s="17">
        <f>Data!B3</f>
        <v>0.08</v>
      </c>
      <c r="D18" s="17">
        <f>Data!C3</f>
        <v>4.9106617551380047</v>
      </c>
      <c r="E18" s="17">
        <f t="shared" ref="E18:E66" si="0">$C$5+($C$6-$C$5)*EXP((C18-$C$7)/$C$8)/(1+EXP((C18-$C$7)/$C$8))</f>
        <v>2.8495789429901026</v>
      </c>
      <c r="F18" s="17">
        <f t="shared" ref="F18:F66" si="1">E18-D18</f>
        <v>-2.0610828121479021</v>
      </c>
      <c r="G18" s="17">
        <f t="shared" ref="G18:G66" si="2">F18^2</f>
        <v>4.248062358531504</v>
      </c>
      <c r="H18" s="17"/>
    </row>
    <row r="19" spans="2:8" s="15" customFormat="1" ht="15" x14ac:dyDescent="0.25">
      <c r="B19" s="16">
        <f>Data!A4</f>
        <v>3</v>
      </c>
      <c r="C19" s="17">
        <f>Data!B4</f>
        <v>0.16</v>
      </c>
      <c r="D19" s="17">
        <f>Data!C4</f>
        <v>3.9584978577340508</v>
      </c>
      <c r="E19" s="17">
        <f t="shared" si="0"/>
        <v>3.0153478399746123</v>
      </c>
      <c r="F19" s="17">
        <f t="shared" si="1"/>
        <v>-0.94315001775943852</v>
      </c>
      <c r="G19" s="17">
        <f t="shared" si="2"/>
        <v>0.8895319559996292</v>
      </c>
      <c r="H19" s="17"/>
    </row>
    <row r="20" spans="2:8" ht="15" x14ac:dyDescent="0.25">
      <c r="B20" s="16">
        <f>Data!A5</f>
        <v>4</v>
      </c>
      <c r="C20" s="17">
        <f>Data!B5</f>
        <v>0.24</v>
      </c>
      <c r="D20" s="17">
        <f>Data!C5</f>
        <v>3.5636422753922981</v>
      </c>
      <c r="E20" s="17">
        <f t="shared" si="0"/>
        <v>3.1864626621097445</v>
      </c>
      <c r="F20" s="17">
        <f t="shared" si="1"/>
        <v>-0.37717961328255356</v>
      </c>
      <c r="G20" s="17">
        <f t="shared" si="2"/>
        <v>0.14226446067597665</v>
      </c>
      <c r="H20" s="17"/>
    </row>
    <row r="21" spans="2:8" ht="15" x14ac:dyDescent="0.25">
      <c r="B21" s="16">
        <f>Data!A6</f>
        <v>5</v>
      </c>
      <c r="C21" s="17">
        <f>Data!B6</f>
        <v>0.32</v>
      </c>
      <c r="D21" s="17">
        <f>Data!C6</f>
        <v>4.8153251741321776</v>
      </c>
      <c r="E21" s="17">
        <f t="shared" si="0"/>
        <v>3.3626130259564739</v>
      </c>
      <c r="F21" s="17">
        <f t="shared" si="1"/>
        <v>-1.4527121481757037</v>
      </c>
      <c r="G21" s="17">
        <f t="shared" si="2"/>
        <v>2.1103725854572679</v>
      </c>
      <c r="H21" s="17"/>
    </row>
    <row r="22" spans="2:8" ht="15" x14ac:dyDescent="0.25">
      <c r="B22" s="16">
        <f>Data!A7</f>
        <v>6</v>
      </c>
      <c r="C22" s="17">
        <f>Data!B7</f>
        <v>0.4</v>
      </c>
      <c r="D22" s="17">
        <f>Data!C7</f>
        <v>3.6404652941551952</v>
      </c>
      <c r="E22" s="17">
        <f t="shared" si="0"/>
        <v>3.5434369377420452</v>
      </c>
      <c r="F22" s="17">
        <f t="shared" si="1"/>
        <v>-9.7028356413149996E-2</v>
      </c>
      <c r="G22" s="17">
        <f t="shared" si="2"/>
        <v>9.4145019482372652E-3</v>
      </c>
      <c r="H22" s="17"/>
    </row>
    <row r="23" spans="2:8" x14ac:dyDescent="0.3">
      <c r="B23" s="16">
        <f>Data!A8</f>
        <v>7</v>
      </c>
      <c r="C23" s="17">
        <f>Data!B8</f>
        <v>0.48</v>
      </c>
      <c r="D23" s="17">
        <f>Data!C8</f>
        <v>3.2500211247116892</v>
      </c>
      <c r="E23" s="17">
        <f t="shared" si="0"/>
        <v>3.7285223368680445</v>
      </c>
      <c r="F23" s="17">
        <f t="shared" si="1"/>
        <v>0.47850121215635522</v>
      </c>
      <c r="G23" s="17">
        <f t="shared" si="2"/>
        <v>0.22896341003510126</v>
      </c>
      <c r="H23" s="17"/>
    </row>
    <row r="24" spans="2:8" x14ac:dyDescent="0.3">
      <c r="B24" s="16">
        <f>Data!A9</f>
        <v>8</v>
      </c>
      <c r="C24" s="17">
        <f>Data!B9</f>
        <v>0.56000000000000005</v>
      </c>
      <c r="D24" s="17">
        <f>Data!C9</f>
        <v>3.2799784416103162</v>
      </c>
      <c r="E24" s="17">
        <f t="shared" si="0"/>
        <v>3.9174096925348558</v>
      </c>
      <c r="F24" s="17">
        <f t="shared" si="1"/>
        <v>0.63743125092453967</v>
      </c>
      <c r="G24" s="17">
        <f t="shared" si="2"/>
        <v>0.40631859965522343</v>
      </c>
      <c r="H24" s="17"/>
    </row>
    <row r="25" spans="2:8" x14ac:dyDescent="0.3">
      <c r="B25" s="16">
        <f>Data!A10</f>
        <v>9</v>
      </c>
      <c r="C25" s="17">
        <f>Data!B10</f>
        <v>0.64</v>
      </c>
      <c r="D25" s="17">
        <f>Data!C10</f>
        <v>3.082039375241187</v>
      </c>
      <c r="E25" s="17">
        <f t="shared" si="0"/>
        <v>4.1095956594133485</v>
      </c>
      <c r="F25" s="17">
        <f t="shared" si="1"/>
        <v>1.0275562841721615</v>
      </c>
      <c r="G25" s="17">
        <f t="shared" si="2"/>
        <v>1.0558719171416999</v>
      </c>
      <c r="H25" s="17"/>
    </row>
    <row r="26" spans="2:8" x14ac:dyDescent="0.3">
      <c r="B26" s="16">
        <f>Data!A11</f>
        <v>10</v>
      </c>
      <c r="C26" s="17">
        <f>Data!B11</f>
        <v>0.72</v>
      </c>
      <c r="D26" s="17">
        <f>Data!C11</f>
        <v>3.0739179851773533</v>
      </c>
      <c r="E26" s="17">
        <f t="shared" si="0"/>
        <v>4.30453776060771</v>
      </c>
      <c r="F26" s="17">
        <f t="shared" si="1"/>
        <v>1.2306197754303567</v>
      </c>
      <c r="G26" s="17">
        <f t="shared" si="2"/>
        <v>1.5144250316802617</v>
      </c>
      <c r="H26" s="17"/>
    </row>
    <row r="27" spans="2:8" x14ac:dyDescent="0.3">
      <c r="B27" s="16">
        <f>Data!A12</f>
        <v>11</v>
      </c>
      <c r="C27" s="17">
        <f>Data!B12</f>
        <v>0.8</v>
      </c>
      <c r="D27" s="17">
        <f>Data!C12</f>
        <v>6.3336235943845587</v>
      </c>
      <c r="E27" s="17">
        <f t="shared" si="0"/>
        <v>4.5016600268752205</v>
      </c>
      <c r="F27" s="17">
        <f t="shared" si="1"/>
        <v>-1.8319635675093382</v>
      </c>
      <c r="G27" s="17">
        <f t="shared" si="2"/>
        <v>3.3560905126815417</v>
      </c>
      <c r="H27" s="17"/>
    </row>
    <row r="28" spans="2:8" x14ac:dyDescent="0.3">
      <c r="B28" s="16">
        <f>Data!A13</f>
        <v>12</v>
      </c>
      <c r="C28" s="17">
        <f>Data!B13</f>
        <v>0.88</v>
      </c>
      <c r="D28" s="17">
        <f>Data!C13</f>
        <v>6.4591738655464681</v>
      </c>
      <c r="E28" s="17">
        <f t="shared" si="0"/>
        <v>4.7003594823542825</v>
      </c>
      <c r="F28" s="17">
        <f t="shared" si="1"/>
        <v>-1.7588143831921856</v>
      </c>
      <c r="G28" s="17">
        <f t="shared" si="2"/>
        <v>3.0934280345237086</v>
      </c>
      <c r="H28" s="17"/>
    </row>
    <row r="29" spans="2:8" x14ac:dyDescent="0.3">
      <c r="B29" s="16">
        <f>Data!A14</f>
        <v>13</v>
      </c>
      <c r="C29" s="17">
        <f>Data!B14</f>
        <v>0.96</v>
      </c>
      <c r="D29" s="17">
        <f>Data!C14</f>
        <v>4.9234486100131569</v>
      </c>
      <c r="E29" s="17">
        <f t="shared" si="0"/>
        <v>4.9000133312003458</v>
      </c>
      <c r="F29" s="17">
        <f t="shared" si="1"/>
        <v>-2.3435278812811156E-2</v>
      </c>
      <c r="G29" s="17">
        <f t="shared" si="2"/>
        <v>5.4921229303419542E-4</v>
      </c>
      <c r="H29" s="17"/>
    </row>
    <row r="30" spans="2:8" x14ac:dyDescent="0.3">
      <c r="B30" s="16">
        <f>Data!A15</f>
        <v>14</v>
      </c>
      <c r="C30" s="17">
        <f>Data!B15</f>
        <v>1.04</v>
      </c>
      <c r="D30" s="17">
        <f>Data!C15</f>
        <v>3.6544631571501189</v>
      </c>
      <c r="E30" s="17">
        <f t="shared" si="0"/>
        <v>5.0999866687996551</v>
      </c>
      <c r="F30" s="17">
        <f t="shared" si="1"/>
        <v>1.4455235116495362</v>
      </c>
      <c r="G30" s="17">
        <f t="shared" si="2"/>
        <v>2.0895382227316066</v>
      </c>
      <c r="H30" s="17"/>
    </row>
    <row r="31" spans="2:8" x14ac:dyDescent="0.3">
      <c r="B31" s="16">
        <f>Data!A16</f>
        <v>15</v>
      </c>
      <c r="C31" s="17">
        <f>Data!B16</f>
        <v>1.1200000000000001</v>
      </c>
      <c r="D31" s="17">
        <f>Data!C16</f>
        <v>3.3553648911117429</v>
      </c>
      <c r="E31" s="17">
        <f t="shared" si="0"/>
        <v>5.2996405176457175</v>
      </c>
      <c r="F31" s="17">
        <f t="shared" si="1"/>
        <v>1.9442756265339747</v>
      </c>
      <c r="G31" s="17">
        <f t="shared" si="2"/>
        <v>3.7802077119340796</v>
      </c>
      <c r="H31" s="17"/>
    </row>
    <row r="32" spans="2:8" x14ac:dyDescent="0.3">
      <c r="B32" s="16">
        <f>Data!A17</f>
        <v>16</v>
      </c>
      <c r="C32" s="17">
        <f>Data!B17</f>
        <v>1.2</v>
      </c>
      <c r="D32" s="17">
        <f>Data!C17</f>
        <v>4.3361423650625079</v>
      </c>
      <c r="E32" s="17">
        <f t="shared" si="0"/>
        <v>5.4983399731247795</v>
      </c>
      <c r="F32" s="17">
        <f t="shared" si="1"/>
        <v>1.1621976080622716</v>
      </c>
      <c r="G32" s="17">
        <f t="shared" si="2"/>
        <v>1.3507032801856653</v>
      </c>
      <c r="H32" s="17"/>
    </row>
    <row r="33" spans="2:8" x14ac:dyDescent="0.3">
      <c r="B33" s="16">
        <f>Data!A18</f>
        <v>17</v>
      </c>
      <c r="C33" s="17">
        <f>Data!B18</f>
        <v>1.28</v>
      </c>
      <c r="D33" s="17">
        <f>Data!C18</f>
        <v>7.034549584134842</v>
      </c>
      <c r="E33" s="17">
        <f t="shared" si="0"/>
        <v>5.69546223939229</v>
      </c>
      <c r="F33" s="17">
        <f t="shared" si="1"/>
        <v>-1.339087344742552</v>
      </c>
      <c r="G33" s="17">
        <f t="shared" si="2"/>
        <v>1.7931549168496583</v>
      </c>
      <c r="H33" s="17"/>
    </row>
    <row r="34" spans="2:8" x14ac:dyDescent="0.3">
      <c r="B34" s="16">
        <f>Data!A19</f>
        <v>18</v>
      </c>
      <c r="C34" s="17">
        <f>Data!B19</f>
        <v>1.36</v>
      </c>
      <c r="D34" s="17">
        <f>Data!C19</f>
        <v>4.3927513484621041</v>
      </c>
      <c r="E34" s="17">
        <f t="shared" si="0"/>
        <v>5.8904043405866515</v>
      </c>
      <c r="F34" s="17">
        <f t="shared" si="1"/>
        <v>1.4976529921245474</v>
      </c>
      <c r="G34" s="17">
        <f t="shared" si="2"/>
        <v>2.2429644848196095</v>
      </c>
      <c r="H34" s="17"/>
    </row>
    <row r="35" spans="2:8" x14ac:dyDescent="0.3">
      <c r="B35" s="16">
        <f>Data!A20</f>
        <v>19</v>
      </c>
      <c r="C35" s="17">
        <f>Data!B20</f>
        <v>1.44</v>
      </c>
      <c r="D35" s="17">
        <f>Data!C20</f>
        <v>7.2491599133490698</v>
      </c>
      <c r="E35" s="17">
        <f t="shared" si="0"/>
        <v>6.0825903074651437</v>
      </c>
      <c r="F35" s="17">
        <f t="shared" si="1"/>
        <v>-1.1665696058839261</v>
      </c>
      <c r="G35" s="17">
        <f t="shared" si="2"/>
        <v>1.3608846453721788</v>
      </c>
      <c r="H35" s="17"/>
    </row>
    <row r="36" spans="2:8" x14ac:dyDescent="0.3">
      <c r="B36" s="16">
        <f>Data!A21</f>
        <v>20</v>
      </c>
      <c r="C36" s="17">
        <f>Data!B21</f>
        <v>1.52</v>
      </c>
      <c r="D36" s="17">
        <f>Data!C21</f>
        <v>4.9323546152747921</v>
      </c>
      <c r="E36" s="17">
        <f t="shared" si="0"/>
        <v>6.2714776631319555</v>
      </c>
      <c r="F36" s="17">
        <f t="shared" si="1"/>
        <v>1.3391230478571634</v>
      </c>
      <c r="G36" s="17">
        <f t="shared" si="2"/>
        <v>1.7932505373022587</v>
      </c>
      <c r="H36" s="17"/>
    </row>
    <row r="37" spans="2:8" x14ac:dyDescent="0.3">
      <c r="B37" s="16">
        <f>Data!A22</f>
        <v>21</v>
      </c>
      <c r="C37" s="17">
        <f>Data!B22</f>
        <v>1.6</v>
      </c>
      <c r="D37" s="17">
        <f>Data!C22</f>
        <v>5.8140571875103424</v>
      </c>
      <c r="E37" s="17">
        <f t="shared" si="0"/>
        <v>6.4565630622579544</v>
      </c>
      <c r="F37" s="17">
        <f t="shared" si="1"/>
        <v>0.642505874747612</v>
      </c>
      <c r="G37" s="17">
        <f t="shared" si="2"/>
        <v>0.41281379908519411</v>
      </c>
      <c r="H37" s="17"/>
    </row>
    <row r="38" spans="2:8" x14ac:dyDescent="0.3">
      <c r="B38" s="16">
        <f>Data!A23</f>
        <v>22</v>
      </c>
      <c r="C38" s="17">
        <f>Data!B23</f>
        <v>1.68</v>
      </c>
      <c r="D38" s="17">
        <f>Data!C23</f>
        <v>4.4699697688995768</v>
      </c>
      <c r="E38" s="17">
        <f t="shared" si="0"/>
        <v>6.6373869740435261</v>
      </c>
      <c r="F38" s="17">
        <f t="shared" si="1"/>
        <v>2.1674172051439493</v>
      </c>
      <c r="G38" s="17">
        <f t="shared" si="2"/>
        <v>4.6976973411540088</v>
      </c>
      <c r="H38" s="17"/>
    </row>
    <row r="39" spans="2:8" x14ac:dyDescent="0.3">
      <c r="B39" s="16">
        <f>Data!A24</f>
        <v>23</v>
      </c>
      <c r="C39" s="17">
        <f>Data!B24</f>
        <v>1.76</v>
      </c>
      <c r="D39" s="17">
        <f>Data!C24</f>
        <v>7.0703562593112483</v>
      </c>
      <c r="E39" s="17">
        <f t="shared" si="0"/>
        <v>6.8135373378902555</v>
      </c>
      <c r="F39" s="17">
        <f t="shared" si="1"/>
        <v>-0.25681892142099283</v>
      </c>
      <c r="G39" s="17">
        <f t="shared" si="2"/>
        <v>6.5955958399842085E-2</v>
      </c>
      <c r="H39" s="17"/>
    </row>
    <row r="40" spans="2:8" x14ac:dyDescent="0.3">
      <c r="B40" s="16">
        <f>Data!A25</f>
        <v>24</v>
      </c>
      <c r="C40" s="17">
        <f>Data!B25</f>
        <v>1.84</v>
      </c>
      <c r="D40" s="17">
        <f>Data!C25</f>
        <v>8.6897955331264711</v>
      </c>
      <c r="E40" s="17">
        <f t="shared" si="0"/>
        <v>6.9846521600253881</v>
      </c>
      <c r="F40" s="17">
        <f t="shared" si="1"/>
        <v>-1.705143373101083</v>
      </c>
      <c r="G40" s="17">
        <f t="shared" si="2"/>
        <v>2.9075139228305393</v>
      </c>
      <c r="H40" s="17"/>
    </row>
    <row r="41" spans="2:8" x14ac:dyDescent="0.3">
      <c r="B41" s="16">
        <f>Data!A26</f>
        <v>25</v>
      </c>
      <c r="C41" s="17">
        <f>Data!B26</f>
        <v>1.92</v>
      </c>
      <c r="D41" s="17">
        <f>Data!C26</f>
        <v>5.9691201040414583</v>
      </c>
      <c r="E41" s="17">
        <f t="shared" si="0"/>
        <v>7.1504210570098969</v>
      </c>
      <c r="F41" s="17">
        <f t="shared" si="1"/>
        <v>1.1813009529684386</v>
      </c>
      <c r="G41" s="17">
        <f t="shared" si="2"/>
        <v>1.3954719414841412</v>
      </c>
      <c r="H41" s="17"/>
    </row>
    <row r="42" spans="2:8" x14ac:dyDescent="0.3">
      <c r="B42" s="16">
        <f>Data!A27</f>
        <v>26</v>
      </c>
      <c r="C42" s="17">
        <f>Data!B27</f>
        <v>2</v>
      </c>
      <c r="D42" s="17">
        <f>Data!C27</f>
        <v>7.0925274531695592</v>
      </c>
      <c r="E42" s="17">
        <f t="shared" si="0"/>
        <v>7.3105857863000487</v>
      </c>
      <c r="F42" s="17">
        <f t="shared" si="1"/>
        <v>0.2180583331304895</v>
      </c>
      <c r="G42" s="17">
        <f t="shared" si="2"/>
        <v>4.7549436647647533E-2</v>
      </c>
      <c r="H42" s="17"/>
    </row>
    <row r="43" spans="2:8" x14ac:dyDescent="0.3">
      <c r="B43" s="16">
        <f>Data!A28</f>
        <v>27</v>
      </c>
      <c r="C43" s="17">
        <f>Data!B28</f>
        <v>2.08</v>
      </c>
      <c r="D43" s="17">
        <f>Data!C28</f>
        <v>9.2417628992867034</v>
      </c>
      <c r="E43" s="17">
        <f t="shared" si="0"/>
        <v>7.4649398333766221</v>
      </c>
      <c r="F43" s="17">
        <f t="shared" si="1"/>
        <v>-1.7768230659100812</v>
      </c>
      <c r="G43" s="17">
        <f t="shared" si="2"/>
        <v>3.1571002075501009</v>
      </c>
      <c r="H43" s="17"/>
    </row>
    <row r="44" spans="2:8" x14ac:dyDescent="0.3">
      <c r="B44" s="16">
        <f>Data!A29</f>
        <v>28</v>
      </c>
      <c r="C44" s="17">
        <f>Data!B29</f>
        <v>2.16</v>
      </c>
      <c r="D44" s="17">
        <f>Data!C29</f>
        <v>9.8181392758882389</v>
      </c>
      <c r="E44" s="17">
        <f t="shared" si="0"/>
        <v>7.6133271484291045</v>
      </c>
      <c r="F44" s="17">
        <f t="shared" si="1"/>
        <v>-2.2048121274591344</v>
      </c>
      <c r="G44" s="17">
        <f t="shared" si="2"/>
        <v>4.8611965173908738</v>
      </c>
      <c r="H44" s="17"/>
    </row>
    <row r="45" spans="2:8" x14ac:dyDescent="0.3">
      <c r="B45" s="16">
        <f>Data!A30</f>
        <v>29</v>
      </c>
      <c r="C45" s="17">
        <f>Data!B30</f>
        <v>2.2400000000000002</v>
      </c>
      <c r="D45" s="17">
        <f>Data!C30</f>
        <v>6.4498724056380627</v>
      </c>
      <c r="E45" s="17">
        <f t="shared" si="0"/>
        <v>7.7556401426907353</v>
      </c>
      <c r="F45" s="17">
        <f t="shared" si="1"/>
        <v>1.3057677370526726</v>
      </c>
      <c r="G45" s="17">
        <f t="shared" si="2"/>
        <v>1.7050293831276575</v>
      </c>
      <c r="H45" s="17"/>
    </row>
    <row r="46" spans="2:8" x14ac:dyDescent="0.3">
      <c r="B46" s="16">
        <f>Data!A31</f>
        <v>30</v>
      </c>
      <c r="C46" s="17">
        <f>Data!B31</f>
        <v>2.3199999999999998</v>
      </c>
      <c r="D46" s="17">
        <f>Data!C31</f>
        <v>10.325110300960441</v>
      </c>
      <c r="E46" s="17">
        <f t="shared" si="0"/>
        <v>7.8918170652225275</v>
      </c>
      <c r="F46" s="17">
        <f t="shared" si="1"/>
        <v>-2.4332932357379136</v>
      </c>
      <c r="G46" s="17">
        <f t="shared" si="2"/>
        <v>5.9209159710878856</v>
      </c>
      <c r="H46" s="17"/>
    </row>
    <row r="47" spans="2:8" x14ac:dyDescent="0.3">
      <c r="B47" s="16">
        <f>Data!A32</f>
        <v>31</v>
      </c>
      <c r="C47" s="17">
        <f>Data!B32</f>
        <v>2.4</v>
      </c>
      <c r="D47" s="17">
        <f>Data!C32</f>
        <v>8.8555559292793404</v>
      </c>
      <c r="E47" s="17">
        <f t="shared" si="0"/>
        <v>8.0218388855858187</v>
      </c>
      <c r="F47" s="17">
        <f t="shared" si="1"/>
        <v>-0.83371704369352173</v>
      </c>
      <c r="G47" s="17">
        <f t="shared" si="2"/>
        <v>0.69508410894506567</v>
      </c>
      <c r="H47" s="17"/>
    </row>
    <row r="48" spans="2:8" x14ac:dyDescent="0.3">
      <c r="B48" s="16">
        <f>Data!A33</f>
        <v>32</v>
      </c>
      <c r="C48" s="17">
        <f>Data!B33</f>
        <v>2.48</v>
      </c>
      <c r="D48" s="17">
        <f>Data!C33</f>
        <v>11.036993261558786</v>
      </c>
      <c r="E48" s="17">
        <f t="shared" si="0"/>
        <v>8.1457258070701783</v>
      </c>
      <c r="F48" s="17">
        <f t="shared" si="1"/>
        <v>-2.8912674544886077</v>
      </c>
      <c r="G48" s="17">
        <f t="shared" si="2"/>
        <v>8.3594274933850325</v>
      </c>
      <c r="H48" s="17"/>
    </row>
    <row r="49" spans="2:8" x14ac:dyDescent="0.3">
      <c r="B49" s="16">
        <f>Data!A34</f>
        <v>33</v>
      </c>
      <c r="C49" s="17">
        <f>Data!B34</f>
        <v>2.56</v>
      </c>
      <c r="D49" s="17">
        <f>Data!C34</f>
        <v>9.9040219387859363</v>
      </c>
      <c r="E49" s="17">
        <f t="shared" si="0"/>
        <v>8.2635335298099495</v>
      </c>
      <c r="F49" s="17">
        <f t="shared" si="1"/>
        <v>-1.6404884089759868</v>
      </c>
      <c r="G49" s="17">
        <f t="shared" si="2"/>
        <v>2.6912022199845644</v>
      </c>
      <c r="H49" s="17"/>
    </row>
    <row r="50" spans="2:8" x14ac:dyDescent="0.3">
      <c r="B50" s="16">
        <f>Data!A35</f>
        <v>34</v>
      </c>
      <c r="C50" s="17">
        <f>Data!B35</f>
        <v>2.64</v>
      </c>
      <c r="D50" s="17">
        <f>Data!C35</f>
        <v>10.625098350194836</v>
      </c>
      <c r="E50" s="17">
        <f t="shared" si="0"/>
        <v>8.3753493741930392</v>
      </c>
      <c r="F50" s="17">
        <f t="shared" si="1"/>
        <v>-2.249748976001797</v>
      </c>
      <c r="G50" s="17">
        <f t="shared" si="2"/>
        <v>5.0613704550211347</v>
      </c>
      <c r="H50" s="17"/>
    </row>
    <row r="51" spans="2:8" x14ac:dyDescent="0.3">
      <c r="B51" s="16">
        <f>Data!A36</f>
        <v>35</v>
      </c>
      <c r="C51" s="17">
        <f>Data!B36</f>
        <v>2.72</v>
      </c>
      <c r="D51" s="17">
        <f>Data!C36</f>
        <v>8.9388296357051225</v>
      </c>
      <c r="E51" s="17">
        <f t="shared" si="0"/>
        <v>8.4812883634334071</v>
      </c>
      <c r="F51" s="17">
        <f t="shared" si="1"/>
        <v>-0.45754127227171537</v>
      </c>
      <c r="G51" s="17">
        <f t="shared" si="2"/>
        <v>0.20934401583201998</v>
      </c>
      <c r="H51" s="17"/>
    </row>
    <row r="52" spans="2:8" x14ac:dyDescent="0.3">
      <c r="B52" s="16">
        <f>Data!A37</f>
        <v>36</v>
      </c>
      <c r="C52" s="17">
        <f>Data!B37</f>
        <v>2.8</v>
      </c>
      <c r="D52" s="17">
        <f>Data!C37</f>
        <v>9.2213244464266637</v>
      </c>
      <c r="E52" s="17">
        <f t="shared" si="0"/>
        <v>8.5814893509951222</v>
      </c>
      <c r="F52" s="17">
        <f t="shared" si="1"/>
        <v>-0.63983509543154149</v>
      </c>
      <c r="G52" s="17">
        <f t="shared" si="2"/>
        <v>0.40938894934588982</v>
      </c>
      <c r="H52" s="17"/>
    </row>
    <row r="53" spans="2:8" x14ac:dyDescent="0.3">
      <c r="B53" s="16">
        <f>Data!A38</f>
        <v>37</v>
      </c>
      <c r="C53" s="17">
        <f>Data!B38</f>
        <v>2.88</v>
      </c>
      <c r="D53" s="17">
        <f>Data!C38</f>
        <v>7.7935821651204646</v>
      </c>
      <c r="E53" s="17">
        <f t="shared" si="0"/>
        <v>8.6761112645793474</v>
      </c>
      <c r="F53" s="17">
        <f t="shared" si="1"/>
        <v>0.8825290994588828</v>
      </c>
      <c r="G53" s="17">
        <f t="shared" si="2"/>
        <v>0.77885761139170662</v>
      </c>
      <c r="H53" s="17"/>
    </row>
    <row r="54" spans="2:8" x14ac:dyDescent="0.3">
      <c r="B54" s="16">
        <f>Data!A39</f>
        <v>38</v>
      </c>
      <c r="C54" s="17">
        <f>Data!B39</f>
        <v>2.96</v>
      </c>
      <c r="D54" s="17">
        <f>Data!C39</f>
        <v>10.290608274850436</v>
      </c>
      <c r="E54" s="17">
        <f t="shared" si="0"/>
        <v>8.7653295243477594</v>
      </c>
      <c r="F54" s="17">
        <f t="shared" si="1"/>
        <v>-1.525278750502677</v>
      </c>
      <c r="G54" s="17">
        <f t="shared" si="2"/>
        <v>2.3264752667350077</v>
      </c>
      <c r="H54" s="17"/>
    </row>
    <row r="55" spans="2:8" x14ac:dyDescent="0.3">
      <c r="B55" s="16">
        <f>Data!A40</f>
        <v>39</v>
      </c>
      <c r="C55" s="17">
        <f>Data!B40</f>
        <v>3.04</v>
      </c>
      <c r="D55" s="17">
        <f>Data!C40</f>
        <v>8.3993898893174084</v>
      </c>
      <c r="E55" s="17">
        <f t="shared" si="0"/>
        <v>8.8493326795445011</v>
      </c>
      <c r="F55" s="17">
        <f t="shared" si="1"/>
        <v>0.44994279022709271</v>
      </c>
      <c r="G55" s="17">
        <f t="shared" si="2"/>
        <v>0.20244851447734155</v>
      </c>
      <c r="H55" s="17"/>
    </row>
    <row r="56" spans="2:8" x14ac:dyDescent="0.3">
      <c r="B56" s="16">
        <f>Data!A41</f>
        <v>40</v>
      </c>
      <c r="C56" s="17">
        <f>Data!B41</f>
        <v>3.12</v>
      </c>
      <c r="D56" s="17">
        <f>Data!C41</f>
        <v>7.9235071346479966</v>
      </c>
      <c r="E56" s="17">
        <f t="shared" si="0"/>
        <v>8.9283192951347186</v>
      </c>
      <c r="F56" s="17">
        <f t="shared" si="1"/>
        <v>1.004812160486722</v>
      </c>
      <c r="G56" s="17">
        <f t="shared" si="2"/>
        <v>1.0096474778619939</v>
      </c>
      <c r="H56" s="17"/>
    </row>
    <row r="57" spans="2:8" x14ac:dyDescent="0.3">
      <c r="B57" s="16">
        <f>Data!A42</f>
        <v>41</v>
      </c>
      <c r="C57" s="17">
        <f>Data!B42</f>
        <v>3.2</v>
      </c>
      <c r="D57" s="17">
        <f>Data!C42</f>
        <v>8.3648574474390216</v>
      </c>
      <c r="E57" s="17">
        <f t="shared" si="0"/>
        <v>9.0024951088031493</v>
      </c>
      <c r="F57" s="17">
        <f t="shared" si="1"/>
        <v>0.63763766136412769</v>
      </c>
      <c r="G57" s="17">
        <f t="shared" si="2"/>
        <v>0.406581787189914</v>
      </c>
      <c r="H57" s="17"/>
    </row>
    <row r="58" spans="2:8" x14ac:dyDescent="0.3">
      <c r="B58" s="16">
        <f>Data!A43</f>
        <v>42</v>
      </c>
      <c r="C58" s="17">
        <f>Data!B43</f>
        <v>3.28</v>
      </c>
      <c r="D58" s="17">
        <f>Data!C43</f>
        <v>9.9638254420188925</v>
      </c>
      <c r="E58" s="17">
        <f t="shared" si="0"/>
        <v>9.0720704688284304</v>
      </c>
      <c r="F58" s="17">
        <f t="shared" si="1"/>
        <v>-0.89175497319046215</v>
      </c>
      <c r="G58" s="17">
        <f t="shared" si="2"/>
        <v>0.79522693220992191</v>
      </c>
      <c r="H58" s="17"/>
    </row>
    <row r="59" spans="2:8" x14ac:dyDescent="0.3">
      <c r="B59" s="16">
        <f>Data!A44</f>
        <v>43</v>
      </c>
      <c r="C59" s="17">
        <f>Data!B44</f>
        <v>3.36</v>
      </c>
      <c r="D59" s="17">
        <f>Data!C44</f>
        <v>9.1487775375491793</v>
      </c>
      <c r="E59" s="17">
        <f t="shared" si="0"/>
        <v>9.1372580550408333</v>
      </c>
      <c r="F59" s="17">
        <f t="shared" si="1"/>
        <v>-1.1519482508346002E-2</v>
      </c>
      <c r="G59" s="17">
        <f t="shared" si="2"/>
        <v>1.3269847726008949E-4</v>
      </c>
      <c r="H59" s="17"/>
    </row>
    <row r="60" spans="2:8" x14ac:dyDescent="0.3">
      <c r="B60" s="16">
        <f>Data!A45</f>
        <v>44</v>
      </c>
      <c r="C60" s="17">
        <f>Data!B45</f>
        <v>3.44</v>
      </c>
      <c r="D60" s="17">
        <f>Data!C45</f>
        <v>8.2929648291678397</v>
      </c>
      <c r="E60" s="17">
        <f t="shared" si="0"/>
        <v>9.1982708782718774</v>
      </c>
      <c r="F60" s="17">
        <f t="shared" si="1"/>
        <v>0.90530604910403767</v>
      </c>
      <c r="G60" s="17">
        <f t="shared" si="2"/>
        <v>0.81957904254436231</v>
      </c>
      <c r="H60" s="17"/>
    </row>
    <row r="61" spans="2:8" x14ac:dyDescent="0.3">
      <c r="B61" s="16">
        <f>Data!A46</f>
        <v>45</v>
      </c>
      <c r="C61" s="17">
        <f>Data!B46</f>
        <v>3.52</v>
      </c>
      <c r="D61" s="17">
        <f>Data!C46</f>
        <v>11.613447543317012</v>
      </c>
      <c r="E61" s="17">
        <f t="shared" si="0"/>
        <v>9.2553205483397196</v>
      </c>
      <c r="F61" s="17">
        <f t="shared" si="1"/>
        <v>-2.3581269949772921</v>
      </c>
      <c r="G61" s="17">
        <f t="shared" si="2"/>
        <v>5.5607629244406338</v>
      </c>
      <c r="H61" s="17"/>
    </row>
    <row r="62" spans="2:8" x14ac:dyDescent="0.3">
      <c r="B62" s="16">
        <f>Data!A47</f>
        <v>46</v>
      </c>
      <c r="C62" s="17">
        <f>Data!B47</f>
        <v>3.6</v>
      </c>
      <c r="D62" s="17">
        <f>Data!C47</f>
        <v>9.0063599394361287</v>
      </c>
      <c r="E62" s="17">
        <f t="shared" si="0"/>
        <v>9.3086157965665315</v>
      </c>
      <c r="F62" s="17">
        <f t="shared" si="1"/>
        <v>0.30225585713040282</v>
      </c>
      <c r="G62" s="17">
        <f t="shared" si="2"/>
        <v>9.1358603169634484E-2</v>
      </c>
      <c r="H62" s="17"/>
    </row>
    <row r="63" spans="2:8" x14ac:dyDescent="0.3">
      <c r="B63" s="16">
        <f>Data!A48</f>
        <v>47</v>
      </c>
      <c r="C63" s="17">
        <f>Data!B48</f>
        <v>3.68</v>
      </c>
      <c r="D63" s="17">
        <f>Data!C48</f>
        <v>8.2756078667866966</v>
      </c>
      <c r="E63" s="17">
        <f t="shared" si="0"/>
        <v>9.3583612359482604</v>
      </c>
      <c r="F63" s="17">
        <f t="shared" si="1"/>
        <v>1.0827533691615638</v>
      </c>
      <c r="G63" s="17">
        <f t="shared" si="2"/>
        <v>1.1723548584307177</v>
      </c>
      <c r="H63" s="17"/>
    </row>
    <row r="64" spans="2:8" x14ac:dyDescent="0.3">
      <c r="B64" s="16">
        <f>Data!A49</f>
        <v>48</v>
      </c>
      <c r="C64" s="17">
        <f>Data!B49</f>
        <v>3.76</v>
      </c>
      <c r="D64" s="17">
        <f>Data!C49</f>
        <v>9.5936107228265701</v>
      </c>
      <c r="E64" s="17">
        <f t="shared" si="0"/>
        <v>9.4047563402349841</v>
      </c>
      <c r="F64" s="17">
        <f t="shared" si="1"/>
        <v>-0.18885438259158605</v>
      </c>
      <c r="G64" s="17">
        <f t="shared" si="2"/>
        <v>3.5665977824049157E-2</v>
      </c>
      <c r="H64" s="17"/>
    </row>
    <row r="65" spans="2:8" x14ac:dyDescent="0.3">
      <c r="B65" s="16">
        <f>Data!A50</f>
        <v>49</v>
      </c>
      <c r="C65" s="17">
        <f>Data!B50</f>
        <v>3.84</v>
      </c>
      <c r="D65" s="17">
        <f>Data!C50</f>
        <v>11.940842183783897</v>
      </c>
      <c r="E65" s="17">
        <f t="shared" si="0"/>
        <v>9.4479946221706577</v>
      </c>
      <c r="F65" s="17">
        <f t="shared" si="1"/>
        <v>-2.4928475616132388</v>
      </c>
      <c r="G65" s="17">
        <f t="shared" si="2"/>
        <v>6.2142889654410709</v>
      </c>
      <c r="H65" s="17"/>
    </row>
    <row r="66" spans="2:8" x14ac:dyDescent="0.3">
      <c r="B66" s="16">
        <f>Data!A51</f>
        <v>50</v>
      </c>
      <c r="C66" s="17">
        <f>Data!B51</f>
        <v>3.92</v>
      </c>
      <c r="D66" s="17">
        <f>Data!C51</f>
        <v>11.787061296216699</v>
      </c>
      <c r="E66" s="17">
        <f t="shared" si="0"/>
        <v>9.4882629908290834</v>
      </c>
      <c r="F66" s="17">
        <f t="shared" si="1"/>
        <v>-2.2987983053876153</v>
      </c>
      <c r="G66" s="17">
        <f t="shared" si="2"/>
        <v>5.2844736488529716</v>
      </c>
      <c r="H66" s="17"/>
    </row>
    <row r="67" spans="2:8" x14ac:dyDescent="0.3">
      <c r="B67" s="18"/>
      <c r="C67" s="18"/>
      <c r="D67" s="18"/>
      <c r="E67" s="18"/>
      <c r="F67" s="18"/>
      <c r="G67" s="18"/>
      <c r="H67" s="18"/>
    </row>
    <row r="68" spans="2:8" x14ac:dyDescent="0.3">
      <c r="B68" s="18"/>
      <c r="C68" s="18"/>
      <c r="D68" s="18"/>
      <c r="E68" s="18"/>
      <c r="F68" s="18"/>
      <c r="G68" s="18"/>
      <c r="H68" s="18"/>
    </row>
    <row r="69" spans="2:8" x14ac:dyDescent="0.3">
      <c r="B69" s="18"/>
      <c r="C69" s="18"/>
      <c r="D69" s="18"/>
      <c r="E69" s="18"/>
      <c r="F69" s="18"/>
      <c r="G69" s="18"/>
      <c r="H69" s="18"/>
    </row>
    <row r="70" spans="2:8" x14ac:dyDescent="0.3">
      <c r="B70" s="18"/>
      <c r="C70" s="18"/>
      <c r="D70" s="18"/>
      <c r="E70" s="18"/>
      <c r="F70" s="18"/>
      <c r="G70" s="18"/>
      <c r="H70" s="18"/>
    </row>
    <row r="71" spans="2:8" x14ac:dyDescent="0.3">
      <c r="B71" s="18"/>
      <c r="C71" s="18"/>
      <c r="D71" s="18"/>
      <c r="E71" s="18"/>
      <c r="F71" s="18"/>
      <c r="G71" s="18"/>
      <c r="H71" s="18"/>
    </row>
    <row r="72" spans="2:8" x14ac:dyDescent="0.3">
      <c r="B72" s="18"/>
      <c r="C72" s="18"/>
      <c r="D72" s="18"/>
      <c r="E72" s="18"/>
      <c r="F72" s="18"/>
      <c r="G72" s="18"/>
      <c r="H72" s="18"/>
    </row>
    <row r="73" spans="2:8" x14ac:dyDescent="0.3">
      <c r="B73" s="18"/>
      <c r="C73" s="18"/>
      <c r="D73" s="18"/>
      <c r="E73" s="18"/>
      <c r="F73" s="18"/>
      <c r="G73" s="18"/>
      <c r="H73" s="18"/>
    </row>
    <row r="74" spans="2:8" x14ac:dyDescent="0.3">
      <c r="B74" s="18"/>
      <c r="C74" s="18"/>
      <c r="D74" s="18"/>
      <c r="E74" s="18"/>
      <c r="F74" s="18"/>
      <c r="G74" s="18"/>
      <c r="H74" s="18"/>
    </row>
    <row r="75" spans="2:8" x14ac:dyDescent="0.3">
      <c r="B75" s="18"/>
      <c r="C75" s="18"/>
      <c r="D75" s="18"/>
      <c r="E75" s="18"/>
      <c r="F75" s="18"/>
      <c r="G75" s="18"/>
      <c r="H75" s="18"/>
    </row>
    <row r="76" spans="2:8" x14ac:dyDescent="0.3">
      <c r="B76" s="18"/>
      <c r="C76" s="18"/>
      <c r="D76" s="18"/>
      <c r="E76" s="18"/>
      <c r="F76" s="18"/>
      <c r="G76" s="18"/>
      <c r="H76" s="18"/>
    </row>
    <row r="77" spans="2:8" x14ac:dyDescent="0.3">
      <c r="B77" s="18"/>
      <c r="C77" s="18"/>
      <c r="D77" s="18"/>
      <c r="E77" s="18"/>
      <c r="F77" s="18"/>
      <c r="G77" s="18"/>
      <c r="H77" s="18"/>
    </row>
    <row r="78" spans="2:8" x14ac:dyDescent="0.3">
      <c r="B78" s="18"/>
      <c r="C78" s="18"/>
      <c r="D78" s="18"/>
      <c r="E78" s="18"/>
      <c r="F78" s="18"/>
      <c r="G78" s="18"/>
      <c r="H78" s="18"/>
    </row>
    <row r="79" spans="2:8" x14ac:dyDescent="0.3">
      <c r="B79" s="18"/>
      <c r="C79" s="18"/>
      <c r="D79" s="18"/>
      <c r="E79" s="18"/>
      <c r="F79" s="18"/>
      <c r="G79" s="18"/>
      <c r="H79" s="18"/>
    </row>
    <row r="80" spans="2:8" x14ac:dyDescent="0.3">
      <c r="B80" s="18"/>
      <c r="C80" s="18"/>
      <c r="D80" s="18"/>
      <c r="E80" s="18"/>
      <c r="F80" s="18"/>
      <c r="G80" s="18"/>
      <c r="H80" s="18"/>
    </row>
    <row r="81" spans="2:8" x14ac:dyDescent="0.3">
      <c r="B81" s="18"/>
      <c r="C81" s="18"/>
      <c r="D81" s="18"/>
      <c r="E81" s="18"/>
      <c r="F81" s="18"/>
      <c r="G81" s="18"/>
      <c r="H81" s="18"/>
    </row>
    <row r="82" spans="2:8" x14ac:dyDescent="0.3">
      <c r="B82" s="18"/>
      <c r="C82" s="18"/>
      <c r="D82" s="18"/>
      <c r="E82" s="18"/>
      <c r="F82" s="18"/>
      <c r="G82" s="18"/>
      <c r="H82" s="18"/>
    </row>
    <row r="83" spans="2:8" x14ac:dyDescent="0.3">
      <c r="B83" s="18"/>
      <c r="C83" s="18"/>
      <c r="D83" s="18"/>
      <c r="E83" s="18"/>
      <c r="F83" s="18"/>
      <c r="G83" s="18"/>
      <c r="H83" s="18"/>
    </row>
    <row r="84" spans="2:8" x14ac:dyDescent="0.3">
      <c r="B84" s="18"/>
      <c r="C84" s="18"/>
      <c r="D84" s="18"/>
      <c r="E84" s="18"/>
      <c r="F84" s="18"/>
      <c r="G84" s="18"/>
      <c r="H84" s="18"/>
    </row>
    <row r="85" spans="2:8" x14ac:dyDescent="0.3">
      <c r="B85" s="18"/>
      <c r="C85" s="18"/>
      <c r="D85" s="18"/>
      <c r="E85" s="18"/>
      <c r="F85" s="18"/>
      <c r="G85" s="18"/>
      <c r="H85" s="18"/>
    </row>
    <row r="86" spans="2:8" x14ac:dyDescent="0.3">
      <c r="B86" s="18"/>
      <c r="C86" s="18"/>
      <c r="D86" s="18"/>
      <c r="E86" s="18"/>
      <c r="F86" s="18"/>
      <c r="G86" s="18"/>
      <c r="H86" s="18"/>
    </row>
    <row r="87" spans="2:8" x14ac:dyDescent="0.3">
      <c r="B87" s="18"/>
      <c r="C87" s="18"/>
      <c r="D87" s="18"/>
      <c r="E87" s="18"/>
      <c r="F87" s="18"/>
      <c r="G87" s="18"/>
      <c r="H87" s="18"/>
    </row>
    <row r="88" spans="2:8" x14ac:dyDescent="0.3">
      <c r="B88" s="18"/>
      <c r="C88" s="18"/>
      <c r="D88" s="18"/>
      <c r="E88" s="18"/>
      <c r="F88" s="18"/>
      <c r="G88" s="18"/>
      <c r="H88" s="18"/>
    </row>
    <row r="89" spans="2:8" x14ac:dyDescent="0.3">
      <c r="B89" s="18"/>
      <c r="C89" s="18"/>
      <c r="D89" s="18"/>
      <c r="E89" s="18"/>
      <c r="F89" s="18"/>
      <c r="G89" s="18"/>
      <c r="H89" s="18"/>
    </row>
    <row r="90" spans="2:8" x14ac:dyDescent="0.3">
      <c r="B90" s="18"/>
      <c r="C90" s="18"/>
      <c r="D90" s="18"/>
      <c r="E90" s="18"/>
      <c r="F90" s="18"/>
      <c r="G90" s="18"/>
      <c r="H90" s="18"/>
    </row>
    <row r="91" spans="2:8" x14ac:dyDescent="0.3">
      <c r="B91" s="18"/>
      <c r="C91" s="18"/>
      <c r="D91" s="18"/>
      <c r="E91" s="18"/>
      <c r="F91" s="18"/>
      <c r="G91" s="18"/>
      <c r="H91" s="18"/>
    </row>
    <row r="92" spans="2:8" x14ac:dyDescent="0.3">
      <c r="B92" s="18"/>
      <c r="C92" s="18"/>
      <c r="D92" s="18"/>
      <c r="E92" s="18"/>
      <c r="F92" s="18"/>
      <c r="G92" s="18"/>
      <c r="H92" s="18"/>
    </row>
    <row r="93" spans="2:8" x14ac:dyDescent="0.3">
      <c r="B93" s="18"/>
      <c r="C93" s="18"/>
      <c r="D93" s="18"/>
      <c r="E93" s="18"/>
      <c r="F93" s="18"/>
      <c r="G93" s="18"/>
      <c r="H93" s="18"/>
    </row>
    <row r="94" spans="2:8" x14ac:dyDescent="0.3">
      <c r="B94" s="18"/>
      <c r="C94" s="18"/>
      <c r="D94" s="18"/>
      <c r="E94" s="18"/>
      <c r="F94" s="18"/>
      <c r="G94" s="18"/>
      <c r="H94" s="18"/>
    </row>
    <row r="95" spans="2:8" x14ac:dyDescent="0.3">
      <c r="B95" s="18"/>
      <c r="C95" s="18"/>
      <c r="D95" s="18"/>
      <c r="E95" s="18"/>
      <c r="F95" s="18"/>
      <c r="G95" s="18"/>
      <c r="H95" s="18"/>
    </row>
    <row r="96" spans="2:8" x14ac:dyDescent="0.3">
      <c r="B96" s="18"/>
      <c r="C96" s="18"/>
      <c r="D96" s="18"/>
      <c r="E96" s="18"/>
      <c r="F96" s="18"/>
      <c r="G96" s="18"/>
      <c r="H96" s="18"/>
    </row>
    <row r="97" spans="2:8" x14ac:dyDescent="0.3">
      <c r="B97" s="18"/>
      <c r="C97" s="18"/>
      <c r="D97" s="18"/>
      <c r="E97" s="18"/>
      <c r="F97" s="18"/>
      <c r="G97" s="18"/>
      <c r="H97" s="18"/>
    </row>
    <row r="98" spans="2:8" x14ac:dyDescent="0.3">
      <c r="B98" s="18"/>
      <c r="C98" s="18"/>
      <c r="D98" s="18"/>
      <c r="E98" s="18"/>
      <c r="F98" s="18"/>
      <c r="G98" s="18"/>
      <c r="H98" s="18"/>
    </row>
    <row r="99" spans="2:8" x14ac:dyDescent="0.3">
      <c r="B99" s="18"/>
      <c r="C99" s="18"/>
      <c r="D99" s="18"/>
      <c r="E99" s="18"/>
      <c r="F99" s="18"/>
      <c r="G99" s="18"/>
      <c r="H99" s="18"/>
    </row>
    <row r="100" spans="2:8" x14ac:dyDescent="0.3">
      <c r="B100" s="18"/>
      <c r="C100" s="18"/>
      <c r="D100" s="18"/>
      <c r="E100" s="18"/>
      <c r="F100" s="18"/>
      <c r="G100" s="18"/>
      <c r="H100" s="18"/>
    </row>
    <row r="101" spans="2:8" x14ac:dyDescent="0.3">
      <c r="B101" s="18"/>
      <c r="C101" s="18"/>
      <c r="D101" s="18"/>
      <c r="E101" s="18"/>
      <c r="F101" s="18"/>
      <c r="G101" s="18"/>
      <c r="H101" s="18"/>
    </row>
    <row r="102" spans="2:8" x14ac:dyDescent="0.3">
      <c r="B102" s="18"/>
      <c r="C102" s="18"/>
      <c r="D102" s="18"/>
      <c r="E102" s="18"/>
      <c r="F102" s="18"/>
      <c r="G102" s="18"/>
      <c r="H102" s="18"/>
    </row>
    <row r="103" spans="2:8" x14ac:dyDescent="0.3">
      <c r="B103" s="18"/>
      <c r="C103" s="18"/>
      <c r="D103" s="18"/>
      <c r="E103" s="18"/>
      <c r="F103" s="18"/>
      <c r="G103" s="18"/>
      <c r="H103" s="18"/>
    </row>
    <row r="104" spans="2:8" x14ac:dyDescent="0.3">
      <c r="B104" s="18"/>
      <c r="C104" s="18"/>
      <c r="D104" s="18"/>
      <c r="E104" s="18"/>
      <c r="F104" s="18"/>
      <c r="G104" s="18"/>
      <c r="H104" s="18"/>
    </row>
    <row r="105" spans="2:8" x14ac:dyDescent="0.3">
      <c r="B105" s="18"/>
      <c r="C105" s="18"/>
      <c r="D105" s="18"/>
      <c r="E105" s="18"/>
      <c r="F105" s="18"/>
      <c r="G105" s="18"/>
      <c r="H105" s="18"/>
    </row>
    <row r="106" spans="2:8" x14ac:dyDescent="0.3">
      <c r="B106" s="18"/>
      <c r="C106" s="18"/>
      <c r="D106" s="18"/>
      <c r="E106" s="18"/>
      <c r="F106" s="18"/>
      <c r="G106" s="18"/>
      <c r="H106" s="18"/>
    </row>
    <row r="107" spans="2:8" x14ac:dyDescent="0.3">
      <c r="B107" s="18"/>
      <c r="C107" s="18"/>
      <c r="D107" s="18"/>
      <c r="E107" s="18"/>
      <c r="F107" s="18"/>
      <c r="G107" s="18"/>
      <c r="H107" s="18"/>
    </row>
    <row r="108" spans="2:8" x14ac:dyDescent="0.3">
      <c r="B108" s="18"/>
      <c r="C108" s="18"/>
      <c r="D108" s="18"/>
      <c r="E108" s="18"/>
      <c r="F108" s="18"/>
      <c r="G108" s="18"/>
      <c r="H108" s="18"/>
    </row>
    <row r="109" spans="2:8" x14ac:dyDescent="0.3">
      <c r="B109" s="18"/>
      <c r="C109" s="18"/>
      <c r="D109" s="18"/>
      <c r="E109" s="18"/>
      <c r="F109" s="18"/>
      <c r="G109" s="18"/>
      <c r="H109" s="18"/>
    </row>
    <row r="110" spans="2:8" x14ac:dyDescent="0.3">
      <c r="B110" s="18"/>
      <c r="C110" s="18"/>
      <c r="D110" s="18"/>
      <c r="E110" s="18"/>
      <c r="F110" s="18"/>
      <c r="G110" s="18"/>
      <c r="H110" s="18"/>
    </row>
    <row r="111" spans="2:8" x14ac:dyDescent="0.3">
      <c r="B111" s="18"/>
      <c r="C111" s="18"/>
      <c r="D111" s="18"/>
      <c r="E111" s="18"/>
      <c r="F111" s="18"/>
      <c r="G111" s="18"/>
      <c r="H111" s="18"/>
    </row>
    <row r="112" spans="2:8" x14ac:dyDescent="0.3">
      <c r="B112" s="18"/>
      <c r="C112" s="18"/>
      <c r="D112" s="18"/>
      <c r="E112" s="18"/>
      <c r="F112" s="18"/>
      <c r="G112" s="18"/>
      <c r="H112" s="18"/>
    </row>
    <row r="113" spans="2:8" x14ac:dyDescent="0.3">
      <c r="B113" s="18"/>
      <c r="C113" s="18"/>
      <c r="D113" s="18"/>
      <c r="E113" s="18"/>
      <c r="F113" s="18"/>
      <c r="G113" s="18"/>
      <c r="H113" s="18"/>
    </row>
    <row r="114" spans="2:8" x14ac:dyDescent="0.3">
      <c r="B114" s="18"/>
      <c r="C114" s="18"/>
      <c r="D114" s="18"/>
      <c r="E114" s="18"/>
      <c r="F114" s="18"/>
      <c r="G114" s="18"/>
      <c r="H114" s="18"/>
    </row>
    <row r="115" spans="2:8" x14ac:dyDescent="0.3">
      <c r="B115" s="18"/>
      <c r="C115" s="18"/>
      <c r="D115" s="18"/>
      <c r="E115" s="18"/>
      <c r="F115" s="18"/>
      <c r="G115" s="18"/>
      <c r="H115" s="18"/>
    </row>
    <row r="116" spans="2:8" x14ac:dyDescent="0.3">
      <c r="B116" s="18"/>
      <c r="C116" s="18"/>
      <c r="D116" s="18"/>
      <c r="E116" s="18"/>
      <c r="F116" s="18"/>
      <c r="G116" s="18"/>
      <c r="H116" s="18"/>
    </row>
    <row r="117" spans="2:8" x14ac:dyDescent="0.3">
      <c r="B117" s="18"/>
      <c r="C117" s="18"/>
      <c r="D117" s="18"/>
      <c r="E117" s="18"/>
      <c r="F117" s="18"/>
      <c r="G117" s="18"/>
      <c r="H117" s="18"/>
    </row>
    <row r="118" spans="2:8" x14ac:dyDescent="0.3">
      <c r="B118" s="18"/>
      <c r="C118" s="18"/>
      <c r="D118" s="18"/>
      <c r="E118" s="18"/>
      <c r="F118" s="18"/>
      <c r="G118" s="18"/>
      <c r="H118" s="18"/>
    </row>
    <row r="119" spans="2:8" x14ac:dyDescent="0.3">
      <c r="B119" s="18"/>
      <c r="C119" s="18"/>
      <c r="D119" s="18"/>
      <c r="E119" s="18"/>
      <c r="F119" s="18"/>
      <c r="G119" s="18"/>
      <c r="H119" s="18"/>
    </row>
    <row r="120" spans="2:8" x14ac:dyDescent="0.3">
      <c r="B120" s="18"/>
      <c r="C120" s="18"/>
      <c r="D120" s="18"/>
      <c r="E120" s="18"/>
      <c r="F120" s="18"/>
      <c r="G120" s="18"/>
      <c r="H120" s="18"/>
    </row>
    <row r="121" spans="2:8" x14ac:dyDescent="0.3">
      <c r="B121" s="18"/>
      <c r="C121" s="18"/>
      <c r="D121" s="18"/>
      <c r="E121" s="18"/>
      <c r="F121" s="18"/>
      <c r="G121" s="18"/>
      <c r="H121" s="18"/>
    </row>
    <row r="122" spans="2:8" x14ac:dyDescent="0.3">
      <c r="B122" s="18"/>
      <c r="C122" s="18"/>
      <c r="D122" s="18"/>
      <c r="E122" s="18"/>
      <c r="F122" s="18"/>
      <c r="G122" s="18"/>
      <c r="H122" s="18"/>
    </row>
    <row r="123" spans="2:8" x14ac:dyDescent="0.3">
      <c r="B123" s="18"/>
      <c r="C123" s="18"/>
      <c r="D123" s="18"/>
      <c r="E123" s="18"/>
      <c r="F123" s="18"/>
      <c r="G123" s="18"/>
      <c r="H123" s="18"/>
    </row>
    <row r="124" spans="2:8" x14ac:dyDescent="0.3">
      <c r="B124" s="18"/>
      <c r="C124" s="18"/>
      <c r="D124" s="18"/>
      <c r="E124" s="18"/>
      <c r="F124" s="18"/>
      <c r="G124" s="18"/>
      <c r="H124" s="18"/>
    </row>
    <row r="125" spans="2:8" x14ac:dyDescent="0.3">
      <c r="B125" s="18"/>
      <c r="C125" s="18"/>
      <c r="D125" s="18"/>
      <c r="E125" s="18"/>
      <c r="F125" s="18"/>
      <c r="G125" s="18"/>
      <c r="H125" s="18"/>
    </row>
    <row r="126" spans="2:8" x14ac:dyDescent="0.3">
      <c r="B126" s="18"/>
      <c r="C126" s="18"/>
      <c r="D126" s="18"/>
      <c r="E126" s="18"/>
      <c r="F126" s="18"/>
      <c r="G126" s="18"/>
      <c r="H126" s="18"/>
    </row>
    <row r="127" spans="2:8" x14ac:dyDescent="0.3">
      <c r="B127" s="18"/>
      <c r="C127" s="18"/>
      <c r="D127" s="18"/>
      <c r="E127" s="18"/>
      <c r="F127" s="18"/>
      <c r="G127" s="18"/>
      <c r="H127" s="18"/>
    </row>
    <row r="128" spans="2:8" x14ac:dyDescent="0.3">
      <c r="B128" s="18"/>
      <c r="C128" s="18"/>
      <c r="D128" s="18"/>
      <c r="E128" s="18"/>
      <c r="F128" s="18"/>
      <c r="G128" s="18"/>
      <c r="H128" s="18"/>
    </row>
    <row r="129" spans="2:8" x14ac:dyDescent="0.3">
      <c r="B129" s="18"/>
      <c r="C129" s="18"/>
      <c r="D129" s="18"/>
      <c r="E129" s="18"/>
      <c r="F129" s="18"/>
      <c r="G129" s="18"/>
      <c r="H129" s="18"/>
    </row>
    <row r="130" spans="2:8" x14ac:dyDescent="0.3">
      <c r="B130" s="18"/>
      <c r="C130" s="18"/>
      <c r="D130" s="18"/>
      <c r="E130" s="18"/>
      <c r="F130" s="18"/>
      <c r="G130" s="18"/>
      <c r="H130" s="18"/>
    </row>
    <row r="131" spans="2:8" x14ac:dyDescent="0.3">
      <c r="B131" s="18"/>
      <c r="C131" s="18"/>
      <c r="D131" s="18"/>
      <c r="E131" s="18"/>
      <c r="F131" s="18"/>
      <c r="G131" s="18"/>
      <c r="H131" s="18"/>
    </row>
    <row r="132" spans="2:8" x14ac:dyDescent="0.3">
      <c r="B132" s="18"/>
      <c r="C132" s="18"/>
      <c r="D132" s="18"/>
      <c r="E132" s="18"/>
      <c r="F132" s="18"/>
      <c r="G132" s="18"/>
      <c r="H132" s="18"/>
    </row>
    <row r="133" spans="2:8" x14ac:dyDescent="0.3">
      <c r="B133" s="18"/>
      <c r="C133" s="18"/>
      <c r="D133" s="18"/>
      <c r="E133" s="18"/>
      <c r="F133" s="18"/>
      <c r="G133" s="18"/>
      <c r="H133" s="18"/>
    </row>
    <row r="134" spans="2:8" x14ac:dyDescent="0.3">
      <c r="B134" s="18"/>
      <c r="C134" s="18"/>
      <c r="D134" s="18"/>
      <c r="E134" s="18"/>
      <c r="F134" s="18"/>
      <c r="G134" s="18"/>
      <c r="H134" s="18"/>
    </row>
    <row r="135" spans="2:8" x14ac:dyDescent="0.3">
      <c r="B135" s="18"/>
      <c r="C135" s="18"/>
      <c r="D135" s="18"/>
      <c r="E135" s="18"/>
      <c r="F135" s="18"/>
      <c r="G135" s="18"/>
      <c r="H135" s="18"/>
    </row>
    <row r="136" spans="2:8" x14ac:dyDescent="0.3">
      <c r="B136" s="18"/>
      <c r="C136" s="18"/>
      <c r="D136" s="18"/>
      <c r="E136" s="18"/>
      <c r="F136" s="18"/>
      <c r="G136" s="18"/>
      <c r="H136" s="18"/>
    </row>
    <row r="137" spans="2:8" x14ac:dyDescent="0.3">
      <c r="B137" s="18"/>
      <c r="C137" s="18"/>
      <c r="D137" s="18"/>
      <c r="E137" s="18"/>
      <c r="F137" s="18"/>
      <c r="G137" s="18"/>
      <c r="H137" s="18"/>
    </row>
    <row r="138" spans="2:8" x14ac:dyDescent="0.3">
      <c r="B138" s="18"/>
      <c r="C138" s="18"/>
      <c r="D138" s="18"/>
      <c r="E138" s="18"/>
      <c r="F138" s="18"/>
      <c r="G138" s="18"/>
      <c r="H138" s="18"/>
    </row>
    <row r="139" spans="2:8" x14ac:dyDescent="0.3">
      <c r="B139" s="18"/>
      <c r="C139" s="18"/>
      <c r="D139" s="18"/>
      <c r="E139" s="18"/>
      <c r="F139" s="18"/>
      <c r="G139" s="18"/>
      <c r="H139" s="18"/>
    </row>
    <row r="140" spans="2:8" x14ac:dyDescent="0.3">
      <c r="B140" s="18"/>
      <c r="C140" s="18"/>
      <c r="D140" s="18"/>
      <c r="E140" s="18"/>
      <c r="F140" s="18"/>
      <c r="G140" s="18"/>
      <c r="H140" s="18"/>
    </row>
    <row r="141" spans="2:8" x14ac:dyDescent="0.3">
      <c r="B141" s="18"/>
      <c r="C141" s="18"/>
      <c r="D141" s="18"/>
      <c r="E141" s="18"/>
      <c r="F141" s="18"/>
      <c r="G141" s="18"/>
      <c r="H141" s="18"/>
    </row>
    <row r="142" spans="2:8" x14ac:dyDescent="0.3">
      <c r="B142" s="18"/>
      <c r="C142" s="18"/>
      <c r="D142" s="18"/>
      <c r="E142" s="18"/>
      <c r="F142" s="18"/>
      <c r="G142" s="18"/>
      <c r="H142" s="18"/>
    </row>
    <row r="143" spans="2:8" x14ac:dyDescent="0.3">
      <c r="B143" s="18"/>
      <c r="C143" s="18"/>
      <c r="D143" s="18"/>
      <c r="E143" s="18"/>
      <c r="F143" s="18"/>
      <c r="G143" s="18"/>
      <c r="H143" s="18"/>
    </row>
    <row r="144" spans="2:8" x14ac:dyDescent="0.3">
      <c r="B144" s="18"/>
      <c r="C144" s="18"/>
      <c r="D144" s="18"/>
      <c r="E144" s="18"/>
      <c r="F144" s="18"/>
      <c r="G144" s="18"/>
      <c r="H144" s="18"/>
    </row>
    <row r="145" spans="2:8" x14ac:dyDescent="0.3">
      <c r="B145" s="18"/>
      <c r="C145" s="18"/>
      <c r="D145" s="18"/>
      <c r="E145" s="18"/>
      <c r="F145" s="18"/>
      <c r="G145" s="18"/>
      <c r="H145" s="18"/>
    </row>
    <row r="146" spans="2:8" x14ac:dyDescent="0.3">
      <c r="B146" s="18"/>
      <c r="C146" s="18"/>
      <c r="D146" s="18"/>
      <c r="E146" s="18"/>
      <c r="F146" s="18"/>
      <c r="G146" s="18"/>
      <c r="H146" s="18"/>
    </row>
    <row r="147" spans="2:8" x14ac:dyDescent="0.3">
      <c r="B147" s="18"/>
      <c r="C147" s="18"/>
      <c r="D147" s="18"/>
      <c r="E147" s="18"/>
      <c r="F147" s="18"/>
      <c r="G147" s="18"/>
      <c r="H147" s="18"/>
    </row>
    <row r="148" spans="2:8" x14ac:dyDescent="0.3">
      <c r="B148" s="18"/>
      <c r="C148" s="18"/>
      <c r="D148" s="18"/>
      <c r="E148" s="18"/>
      <c r="F148" s="18"/>
      <c r="G148" s="18"/>
      <c r="H148" s="18"/>
    </row>
    <row r="149" spans="2:8" x14ac:dyDescent="0.3">
      <c r="B149" s="18"/>
      <c r="C149" s="18"/>
      <c r="D149" s="18"/>
      <c r="E149" s="18"/>
      <c r="F149" s="18"/>
      <c r="G149" s="18"/>
      <c r="H149" s="18"/>
    </row>
    <row r="150" spans="2:8" x14ac:dyDescent="0.3">
      <c r="B150" s="18"/>
      <c r="C150" s="18"/>
      <c r="D150" s="18"/>
      <c r="E150" s="18"/>
      <c r="F150" s="18"/>
      <c r="G150" s="18"/>
      <c r="H150" s="18"/>
    </row>
    <row r="151" spans="2:8" x14ac:dyDescent="0.3">
      <c r="B151" s="18"/>
      <c r="C151" s="18"/>
      <c r="D151" s="18"/>
      <c r="E151" s="18"/>
      <c r="F151" s="18"/>
      <c r="G151" s="18"/>
      <c r="H151" s="18"/>
    </row>
    <row r="152" spans="2:8" x14ac:dyDescent="0.3">
      <c r="B152" s="18"/>
      <c r="C152" s="18"/>
      <c r="D152" s="18"/>
      <c r="E152" s="18"/>
      <c r="F152" s="18"/>
      <c r="G152" s="18"/>
      <c r="H152" s="18"/>
    </row>
    <row r="153" spans="2:8" x14ac:dyDescent="0.3">
      <c r="B153" s="18"/>
      <c r="C153" s="18"/>
      <c r="D153" s="18"/>
      <c r="E153" s="18"/>
      <c r="F153" s="18"/>
      <c r="G153" s="18"/>
      <c r="H153" s="18"/>
    </row>
    <row r="154" spans="2:8" x14ac:dyDescent="0.3">
      <c r="B154" s="18"/>
      <c r="C154" s="18"/>
      <c r="D154" s="18"/>
      <c r="E154" s="18"/>
      <c r="F154" s="18"/>
      <c r="G154" s="18"/>
      <c r="H154" s="18"/>
    </row>
    <row r="155" spans="2:8" x14ac:dyDescent="0.3">
      <c r="B155" s="18"/>
      <c r="C155" s="18"/>
      <c r="D155" s="18"/>
      <c r="E155" s="18"/>
      <c r="F155" s="18"/>
      <c r="G155" s="18"/>
      <c r="H155" s="18"/>
    </row>
    <row r="156" spans="2:8" x14ac:dyDescent="0.3">
      <c r="B156" s="18"/>
      <c r="C156" s="18"/>
      <c r="D156" s="18"/>
      <c r="E156" s="18"/>
      <c r="F156" s="18"/>
      <c r="G156" s="18"/>
      <c r="H156" s="18"/>
    </row>
    <row r="157" spans="2:8" x14ac:dyDescent="0.3">
      <c r="B157" s="18"/>
      <c r="C157" s="18"/>
      <c r="D157" s="18"/>
      <c r="E157" s="18"/>
      <c r="F157" s="18"/>
      <c r="G157" s="18"/>
      <c r="H157" s="18"/>
    </row>
    <row r="158" spans="2:8" x14ac:dyDescent="0.3">
      <c r="B158" s="18"/>
      <c r="C158" s="18"/>
      <c r="D158" s="18"/>
      <c r="E158" s="18"/>
      <c r="F158" s="18"/>
      <c r="G158" s="18"/>
      <c r="H158" s="18"/>
    </row>
    <row r="159" spans="2:8" x14ac:dyDescent="0.3">
      <c r="B159" s="18"/>
      <c r="C159" s="18"/>
      <c r="D159" s="18"/>
      <c r="E159" s="18"/>
      <c r="F159" s="18"/>
      <c r="G159" s="18"/>
      <c r="H159" s="18"/>
    </row>
    <row r="160" spans="2:8" x14ac:dyDescent="0.3">
      <c r="B160" s="18"/>
      <c r="C160" s="18"/>
      <c r="D160" s="18"/>
      <c r="E160" s="18"/>
      <c r="F160" s="18"/>
      <c r="G160" s="18"/>
      <c r="H160" s="18"/>
    </row>
    <row r="161" spans="2:8" x14ac:dyDescent="0.3">
      <c r="B161" s="18"/>
      <c r="C161" s="18"/>
      <c r="D161" s="18"/>
      <c r="E161" s="18"/>
      <c r="F161" s="18"/>
      <c r="G161" s="18"/>
      <c r="H161" s="18"/>
    </row>
    <row r="162" spans="2:8" x14ac:dyDescent="0.3">
      <c r="B162" s="18"/>
      <c r="C162" s="18"/>
      <c r="D162" s="18"/>
      <c r="E162" s="18"/>
      <c r="F162" s="18"/>
      <c r="G162" s="18"/>
      <c r="H162" s="18"/>
    </row>
    <row r="163" spans="2:8" x14ac:dyDescent="0.3">
      <c r="B163" s="18"/>
      <c r="C163" s="18"/>
      <c r="D163" s="18"/>
      <c r="E163" s="18"/>
      <c r="F163" s="18"/>
      <c r="G163" s="18"/>
      <c r="H163" s="18"/>
    </row>
    <row r="164" spans="2:8" x14ac:dyDescent="0.3">
      <c r="B164" s="18"/>
      <c r="C164" s="18"/>
      <c r="D164" s="18"/>
      <c r="E164" s="18"/>
      <c r="F164" s="18"/>
      <c r="G164" s="18"/>
      <c r="H164" s="18"/>
    </row>
    <row r="165" spans="2:8" x14ac:dyDescent="0.3">
      <c r="B165" s="18"/>
      <c r="C165" s="18"/>
      <c r="D165" s="18"/>
      <c r="E165" s="18"/>
      <c r="F165" s="18"/>
      <c r="G165" s="18"/>
      <c r="H165" s="18"/>
    </row>
    <row r="166" spans="2:8" x14ac:dyDescent="0.3">
      <c r="B166" s="18"/>
      <c r="C166" s="18"/>
      <c r="D166" s="18"/>
      <c r="E166" s="18"/>
      <c r="F166" s="18"/>
      <c r="G166" s="18"/>
      <c r="H166" s="18"/>
    </row>
    <row r="167" spans="2:8" x14ac:dyDescent="0.3">
      <c r="B167" s="18"/>
      <c r="C167" s="18"/>
      <c r="D167" s="18"/>
      <c r="E167" s="18"/>
      <c r="F167" s="18"/>
      <c r="G167" s="18"/>
      <c r="H167" s="18"/>
    </row>
    <row r="168" spans="2:8" x14ac:dyDescent="0.3">
      <c r="B168" s="18"/>
      <c r="C168" s="18"/>
      <c r="D168" s="18"/>
      <c r="E168" s="18"/>
      <c r="F168" s="18"/>
      <c r="G168" s="18"/>
      <c r="H168" s="18"/>
    </row>
    <row r="169" spans="2:8" x14ac:dyDescent="0.3">
      <c r="B169" s="18"/>
      <c r="C169" s="18"/>
      <c r="D169" s="18"/>
      <c r="E169" s="18"/>
      <c r="F169" s="18"/>
      <c r="G169" s="18"/>
      <c r="H169" s="18"/>
    </row>
    <row r="170" spans="2:8" x14ac:dyDescent="0.3">
      <c r="B170" s="18"/>
      <c r="C170" s="18"/>
      <c r="D170" s="18"/>
      <c r="E170" s="18"/>
      <c r="F170" s="18"/>
      <c r="G170" s="18"/>
      <c r="H170" s="18"/>
    </row>
    <row r="171" spans="2:8" x14ac:dyDescent="0.3">
      <c r="B171" s="18"/>
      <c r="C171" s="18"/>
      <c r="D171" s="18"/>
      <c r="E171" s="18"/>
      <c r="F171" s="18"/>
      <c r="G171" s="18"/>
      <c r="H171" s="18"/>
    </row>
    <row r="172" spans="2:8" x14ac:dyDescent="0.3">
      <c r="B172" s="18"/>
      <c r="C172" s="18"/>
      <c r="D172" s="18"/>
      <c r="E172" s="18"/>
      <c r="F172" s="18"/>
      <c r="G172" s="18"/>
      <c r="H172" s="18"/>
    </row>
    <row r="173" spans="2:8" x14ac:dyDescent="0.3">
      <c r="B173" s="18"/>
      <c r="C173" s="18"/>
      <c r="D173" s="18"/>
      <c r="E173" s="18"/>
      <c r="F173" s="18"/>
      <c r="G173" s="18"/>
      <c r="H173" s="18"/>
    </row>
    <row r="174" spans="2:8" x14ac:dyDescent="0.3">
      <c r="B174" s="18"/>
      <c r="C174" s="18"/>
      <c r="D174" s="18"/>
      <c r="E174" s="18"/>
      <c r="F174" s="18"/>
      <c r="G174" s="18"/>
      <c r="H174" s="18"/>
    </row>
    <row r="175" spans="2:8" x14ac:dyDescent="0.3">
      <c r="B175" s="18"/>
      <c r="C175" s="18"/>
      <c r="D175" s="18"/>
      <c r="E175" s="18"/>
      <c r="F175" s="18"/>
      <c r="G175" s="18"/>
      <c r="H175" s="18"/>
    </row>
    <row r="176" spans="2:8" x14ac:dyDescent="0.3">
      <c r="B176" s="18"/>
      <c r="C176" s="18"/>
      <c r="D176" s="18"/>
      <c r="E176" s="18"/>
      <c r="F176" s="18"/>
      <c r="G176" s="18"/>
      <c r="H176" s="18"/>
    </row>
    <row r="177" spans="2:8" x14ac:dyDescent="0.3">
      <c r="B177" s="18"/>
      <c r="C177" s="18"/>
      <c r="D177" s="18"/>
      <c r="E177" s="18"/>
      <c r="F177" s="18"/>
      <c r="G177" s="18"/>
      <c r="H177" s="18"/>
    </row>
    <row r="178" spans="2:8" x14ac:dyDescent="0.3">
      <c r="B178" s="18"/>
      <c r="C178" s="18"/>
      <c r="D178" s="18"/>
      <c r="E178" s="18"/>
      <c r="F178" s="18"/>
      <c r="G178" s="18"/>
      <c r="H178" s="18"/>
    </row>
    <row r="179" spans="2:8" x14ac:dyDescent="0.3">
      <c r="B179" s="18"/>
      <c r="C179" s="18"/>
      <c r="D179" s="18"/>
      <c r="E179" s="18"/>
      <c r="F179" s="18"/>
      <c r="G179" s="18"/>
      <c r="H179" s="18"/>
    </row>
    <row r="180" spans="2:8" x14ac:dyDescent="0.3">
      <c r="B180" s="18"/>
      <c r="C180" s="18"/>
      <c r="D180" s="18"/>
      <c r="E180" s="18"/>
      <c r="F180" s="18"/>
      <c r="G180" s="18"/>
      <c r="H180" s="18"/>
    </row>
    <row r="181" spans="2:8" x14ac:dyDescent="0.3">
      <c r="B181" s="18"/>
      <c r="C181" s="18"/>
      <c r="D181" s="18"/>
      <c r="E181" s="18"/>
      <c r="F181" s="18"/>
      <c r="G181" s="18"/>
      <c r="H181" s="18"/>
    </row>
    <row r="182" spans="2:8" x14ac:dyDescent="0.3">
      <c r="B182" s="18"/>
      <c r="C182" s="18"/>
      <c r="D182" s="18"/>
      <c r="E182" s="18"/>
      <c r="F182" s="18"/>
      <c r="G182" s="18"/>
      <c r="H182" s="18"/>
    </row>
    <row r="183" spans="2:8" x14ac:dyDescent="0.3">
      <c r="B183" s="18"/>
      <c r="C183" s="18"/>
      <c r="D183" s="18"/>
      <c r="E183" s="18"/>
      <c r="F183" s="18"/>
      <c r="G183" s="18"/>
      <c r="H183" s="18"/>
    </row>
    <row r="184" spans="2:8" x14ac:dyDescent="0.3">
      <c r="B184" s="18"/>
      <c r="C184" s="18"/>
      <c r="D184" s="18"/>
      <c r="E184" s="18"/>
      <c r="F184" s="18"/>
      <c r="G184" s="18"/>
      <c r="H184" s="18"/>
    </row>
    <row r="185" spans="2:8" x14ac:dyDescent="0.3">
      <c r="B185" s="18"/>
      <c r="C185" s="18"/>
      <c r="D185" s="18"/>
      <c r="E185" s="18"/>
      <c r="F185" s="18"/>
      <c r="G185" s="18"/>
      <c r="H185" s="18"/>
    </row>
    <row r="186" spans="2:8" x14ac:dyDescent="0.3">
      <c r="B186" s="18"/>
      <c r="C186" s="18"/>
      <c r="D186" s="18"/>
      <c r="E186" s="18"/>
      <c r="F186" s="18"/>
      <c r="G186" s="18"/>
      <c r="H186" s="18"/>
    </row>
    <row r="187" spans="2:8" x14ac:dyDescent="0.3">
      <c r="B187" s="18"/>
      <c r="C187" s="18"/>
      <c r="D187" s="18"/>
      <c r="E187" s="18"/>
      <c r="F187" s="18"/>
      <c r="G187" s="18"/>
      <c r="H187" s="18"/>
    </row>
    <row r="188" spans="2:8" x14ac:dyDescent="0.3">
      <c r="B188" s="18"/>
      <c r="C188" s="18"/>
      <c r="D188" s="18"/>
      <c r="E188" s="18"/>
      <c r="F188" s="18"/>
      <c r="G188" s="18"/>
      <c r="H188" s="18"/>
    </row>
    <row r="189" spans="2:8" x14ac:dyDescent="0.3">
      <c r="B189" s="18"/>
      <c r="C189" s="18"/>
      <c r="D189" s="18"/>
      <c r="E189" s="18"/>
      <c r="F189" s="18"/>
      <c r="G189" s="18"/>
      <c r="H189" s="18"/>
    </row>
    <row r="190" spans="2:8" x14ac:dyDescent="0.3">
      <c r="B190" s="18"/>
      <c r="C190" s="18"/>
      <c r="D190" s="18"/>
      <c r="E190" s="18"/>
      <c r="F190" s="18"/>
      <c r="G190" s="18"/>
      <c r="H190" s="18"/>
    </row>
    <row r="191" spans="2:8" x14ac:dyDescent="0.3">
      <c r="B191" s="18"/>
      <c r="C191" s="18"/>
      <c r="D191" s="18"/>
      <c r="E191" s="18"/>
      <c r="F191" s="18"/>
      <c r="G191" s="18"/>
      <c r="H191" s="18"/>
    </row>
    <row r="192" spans="2:8" x14ac:dyDescent="0.3">
      <c r="B192" s="18"/>
      <c r="C192" s="18"/>
      <c r="D192" s="18"/>
      <c r="E192" s="18"/>
      <c r="F192" s="18"/>
      <c r="G192" s="18"/>
      <c r="H192" s="18"/>
    </row>
    <row r="193" spans="2:8" x14ac:dyDescent="0.3">
      <c r="B193" s="18"/>
      <c r="C193" s="18"/>
      <c r="D193" s="18"/>
      <c r="E193" s="18"/>
      <c r="F193" s="18"/>
      <c r="G193" s="18"/>
      <c r="H193" s="18"/>
    </row>
    <row r="194" spans="2:8" x14ac:dyDescent="0.3">
      <c r="B194" s="18"/>
      <c r="C194" s="18"/>
      <c r="D194" s="18"/>
      <c r="E194" s="18"/>
      <c r="F194" s="18"/>
      <c r="G194" s="18"/>
      <c r="H194" s="18"/>
    </row>
    <row r="195" spans="2:8" x14ac:dyDescent="0.3">
      <c r="B195" s="18"/>
      <c r="C195" s="18"/>
      <c r="D195" s="18"/>
      <c r="E195" s="18"/>
      <c r="F195" s="18"/>
      <c r="G195" s="18"/>
      <c r="H195" s="18"/>
    </row>
    <row r="196" spans="2:8" x14ac:dyDescent="0.3">
      <c r="B196" s="18"/>
      <c r="C196" s="18"/>
      <c r="D196" s="18"/>
      <c r="E196" s="18"/>
      <c r="F196" s="18"/>
      <c r="G196" s="18"/>
      <c r="H196" s="18"/>
    </row>
    <row r="197" spans="2:8" x14ac:dyDescent="0.3">
      <c r="B197" s="18"/>
      <c r="C197" s="18"/>
      <c r="D197" s="18"/>
      <c r="E197" s="18"/>
      <c r="F197" s="18"/>
      <c r="G197" s="18"/>
      <c r="H197" s="18"/>
    </row>
    <row r="198" spans="2:8" x14ac:dyDescent="0.3">
      <c r="B198" s="18"/>
      <c r="C198" s="18"/>
      <c r="D198" s="18"/>
      <c r="E198" s="18"/>
      <c r="F198" s="18"/>
      <c r="G198" s="18"/>
      <c r="H198" s="18"/>
    </row>
    <row r="199" spans="2:8" x14ac:dyDescent="0.3">
      <c r="B199" s="18"/>
      <c r="C199" s="18"/>
      <c r="D199" s="18"/>
      <c r="E199" s="18"/>
      <c r="F199" s="18"/>
      <c r="G199" s="18"/>
      <c r="H199" s="18"/>
    </row>
    <row r="200" spans="2:8" x14ac:dyDescent="0.3">
      <c r="B200" s="18"/>
      <c r="C200" s="18"/>
      <c r="D200" s="18"/>
      <c r="E200" s="18"/>
      <c r="F200" s="18"/>
      <c r="G200" s="18"/>
      <c r="H200" s="18"/>
    </row>
    <row r="201" spans="2:8" x14ac:dyDescent="0.3">
      <c r="B201" s="18"/>
      <c r="C201" s="18"/>
      <c r="D201" s="18"/>
      <c r="E201" s="18"/>
      <c r="F201" s="18"/>
      <c r="G201" s="18"/>
      <c r="H201" s="18"/>
    </row>
    <row r="202" spans="2:8" x14ac:dyDescent="0.3">
      <c r="B202" s="18"/>
      <c r="C202" s="18"/>
      <c r="D202" s="18"/>
      <c r="E202" s="18"/>
      <c r="F202" s="18"/>
      <c r="G202" s="18"/>
      <c r="H202" s="18"/>
    </row>
    <row r="203" spans="2:8" x14ac:dyDescent="0.3">
      <c r="B203" s="18"/>
      <c r="C203" s="18"/>
      <c r="D203" s="18"/>
      <c r="E203" s="18"/>
      <c r="F203" s="18"/>
      <c r="G203" s="18"/>
      <c r="H203" s="18"/>
    </row>
    <row r="204" spans="2:8" x14ac:dyDescent="0.3">
      <c r="B204" s="18"/>
      <c r="C204" s="18"/>
      <c r="D204" s="18"/>
      <c r="E204" s="18"/>
      <c r="F204" s="18"/>
      <c r="G204" s="18"/>
      <c r="H204" s="18"/>
    </row>
    <row r="205" spans="2:8" x14ac:dyDescent="0.3">
      <c r="B205" s="18"/>
      <c r="C205" s="18"/>
      <c r="D205" s="18"/>
      <c r="E205" s="18"/>
      <c r="F205" s="18"/>
      <c r="G205" s="18"/>
      <c r="H205" s="18"/>
    </row>
    <row r="206" spans="2:8" x14ac:dyDescent="0.3">
      <c r="B206" s="18"/>
      <c r="C206" s="18"/>
      <c r="D206" s="18"/>
      <c r="E206" s="18"/>
      <c r="F206" s="18"/>
      <c r="G206" s="18"/>
      <c r="H206" s="18"/>
    </row>
    <row r="207" spans="2:8" x14ac:dyDescent="0.3">
      <c r="B207" s="18"/>
      <c r="C207" s="18"/>
      <c r="D207" s="18"/>
      <c r="E207" s="18"/>
      <c r="F207" s="18"/>
      <c r="G207" s="18"/>
      <c r="H207" s="18"/>
    </row>
    <row r="208" spans="2:8" x14ac:dyDescent="0.3">
      <c r="B208" s="18"/>
      <c r="C208" s="18"/>
      <c r="D208" s="18"/>
      <c r="E208" s="18"/>
      <c r="F208" s="18"/>
      <c r="G208" s="18"/>
      <c r="H208" s="18"/>
    </row>
    <row r="209" spans="2:8" x14ac:dyDescent="0.3">
      <c r="B209" s="18"/>
      <c r="C209" s="18"/>
      <c r="D209" s="18"/>
      <c r="E209" s="18"/>
      <c r="F209" s="18"/>
      <c r="G209" s="18"/>
      <c r="H209" s="18"/>
    </row>
    <row r="210" spans="2:8" x14ac:dyDescent="0.3">
      <c r="B210" s="18"/>
      <c r="C210" s="18"/>
      <c r="D210" s="18"/>
      <c r="E210" s="18"/>
      <c r="F210" s="18"/>
      <c r="G210" s="18"/>
      <c r="H210" s="18"/>
    </row>
    <row r="211" spans="2:8" x14ac:dyDescent="0.3">
      <c r="B211" s="18"/>
      <c r="C211" s="18"/>
      <c r="D211" s="18"/>
      <c r="E211" s="18"/>
      <c r="F211" s="18"/>
      <c r="G211" s="18"/>
      <c r="H211" s="18"/>
    </row>
    <row r="212" spans="2:8" x14ac:dyDescent="0.3">
      <c r="B212" s="18"/>
      <c r="C212" s="18"/>
      <c r="D212" s="18"/>
      <c r="E212" s="18"/>
      <c r="F212" s="18"/>
      <c r="G212" s="18"/>
      <c r="H212" s="18"/>
    </row>
    <row r="213" spans="2:8" x14ac:dyDescent="0.3">
      <c r="B213" s="18"/>
      <c r="C213" s="18"/>
      <c r="D213" s="18"/>
      <c r="E213" s="18"/>
      <c r="F213" s="18"/>
      <c r="G213" s="18"/>
      <c r="H213" s="18"/>
    </row>
    <row r="214" spans="2:8" x14ac:dyDescent="0.3">
      <c r="B214" s="18"/>
      <c r="C214" s="18"/>
      <c r="D214" s="18"/>
      <c r="E214" s="18"/>
      <c r="F214" s="18"/>
      <c r="G214" s="18"/>
      <c r="H214" s="18"/>
    </row>
    <row r="215" spans="2:8" x14ac:dyDescent="0.3">
      <c r="B215" s="18"/>
      <c r="C215" s="18"/>
      <c r="D215" s="18"/>
      <c r="E215" s="18"/>
      <c r="F215" s="18"/>
      <c r="G215" s="18"/>
      <c r="H215" s="18"/>
    </row>
    <row r="216" spans="2:8" x14ac:dyDescent="0.3">
      <c r="B216" s="18"/>
      <c r="C216" s="18"/>
      <c r="D216" s="18"/>
      <c r="E216" s="18"/>
      <c r="F216" s="18"/>
      <c r="G216" s="18"/>
      <c r="H216" s="18"/>
    </row>
    <row r="217" spans="2:8" x14ac:dyDescent="0.3">
      <c r="B217" s="18"/>
      <c r="C217" s="18"/>
      <c r="D217" s="18"/>
      <c r="E217" s="18"/>
      <c r="F217" s="18"/>
      <c r="G217" s="18"/>
      <c r="H217" s="18"/>
    </row>
    <row r="218" spans="2:8" x14ac:dyDescent="0.3">
      <c r="B218" s="18"/>
      <c r="C218" s="18"/>
      <c r="D218" s="18"/>
      <c r="E218" s="18"/>
      <c r="F218" s="18"/>
      <c r="G218" s="18"/>
      <c r="H218" s="18"/>
    </row>
    <row r="219" spans="2:8" x14ac:dyDescent="0.3">
      <c r="B219" s="18"/>
      <c r="C219" s="18"/>
      <c r="D219" s="18"/>
      <c r="E219" s="18"/>
      <c r="F219" s="18"/>
      <c r="G219" s="18"/>
      <c r="H219" s="18"/>
    </row>
    <row r="220" spans="2:8" x14ac:dyDescent="0.3">
      <c r="B220" s="18"/>
      <c r="C220" s="18"/>
      <c r="D220" s="18"/>
      <c r="E220" s="18"/>
      <c r="F220" s="18"/>
      <c r="G220" s="18"/>
      <c r="H220" s="18"/>
    </row>
    <row r="221" spans="2:8" x14ac:dyDescent="0.3">
      <c r="B221" s="18"/>
      <c r="C221" s="18"/>
      <c r="D221" s="18"/>
      <c r="E221" s="18"/>
      <c r="F221" s="18"/>
      <c r="G221" s="18"/>
      <c r="H221" s="18"/>
    </row>
    <row r="222" spans="2:8" x14ac:dyDescent="0.3">
      <c r="B222" s="18"/>
      <c r="C222" s="18"/>
      <c r="D222" s="18"/>
      <c r="E222" s="18"/>
      <c r="F222" s="18"/>
      <c r="G222" s="18"/>
      <c r="H222" s="18"/>
    </row>
    <row r="223" spans="2:8" x14ac:dyDescent="0.3">
      <c r="B223" s="18"/>
      <c r="C223" s="18"/>
      <c r="D223" s="18"/>
      <c r="E223" s="18"/>
      <c r="F223" s="18"/>
      <c r="G223" s="18"/>
      <c r="H223" s="18"/>
    </row>
    <row r="224" spans="2:8" x14ac:dyDescent="0.3">
      <c r="B224" s="18"/>
      <c r="C224" s="18"/>
      <c r="D224" s="18"/>
      <c r="E224" s="18"/>
      <c r="F224" s="18"/>
      <c r="G224" s="18"/>
      <c r="H224" s="18"/>
    </row>
    <row r="225" spans="2:8" x14ac:dyDescent="0.3">
      <c r="B225" s="18"/>
      <c r="C225" s="18"/>
      <c r="D225" s="18"/>
      <c r="E225" s="18"/>
      <c r="F225" s="18"/>
      <c r="G225" s="18"/>
      <c r="H225" s="18"/>
    </row>
    <row r="226" spans="2:8" x14ac:dyDescent="0.3">
      <c r="B226" s="18"/>
      <c r="C226" s="18"/>
      <c r="D226" s="18"/>
      <c r="E226" s="18"/>
      <c r="F226" s="18"/>
      <c r="G226" s="18"/>
      <c r="H226" s="18"/>
    </row>
    <row r="227" spans="2:8" x14ac:dyDescent="0.3">
      <c r="B227" s="18"/>
      <c r="C227" s="18"/>
      <c r="D227" s="18"/>
      <c r="E227" s="18"/>
      <c r="F227" s="18"/>
      <c r="G227" s="18"/>
      <c r="H227" s="18"/>
    </row>
    <row r="228" spans="2:8" x14ac:dyDescent="0.3">
      <c r="B228" s="18"/>
      <c r="C228" s="18"/>
      <c r="D228" s="18"/>
      <c r="E228" s="18"/>
      <c r="F228" s="18"/>
      <c r="G228" s="18"/>
      <c r="H228" s="18"/>
    </row>
    <row r="229" spans="2:8" x14ac:dyDescent="0.3">
      <c r="B229" s="18"/>
      <c r="C229" s="18"/>
      <c r="D229" s="18"/>
      <c r="E229" s="18"/>
      <c r="F229" s="18"/>
      <c r="G229" s="18"/>
      <c r="H229" s="18"/>
    </row>
    <row r="230" spans="2:8" x14ac:dyDescent="0.3">
      <c r="B230" s="18"/>
      <c r="C230" s="18"/>
      <c r="D230" s="18"/>
      <c r="E230" s="18"/>
      <c r="F230" s="18"/>
      <c r="G230" s="18"/>
      <c r="H230" s="18"/>
    </row>
    <row r="231" spans="2:8" x14ac:dyDescent="0.3">
      <c r="B231" s="18"/>
      <c r="C231" s="18"/>
      <c r="D231" s="18"/>
      <c r="E231" s="18"/>
      <c r="F231" s="18"/>
      <c r="G231" s="18"/>
      <c r="H231" s="18"/>
    </row>
    <row r="232" spans="2:8" x14ac:dyDescent="0.3">
      <c r="B232" s="18"/>
      <c r="C232" s="18"/>
      <c r="D232" s="18"/>
      <c r="E232" s="18"/>
      <c r="F232" s="18"/>
      <c r="G232" s="18"/>
      <c r="H232" s="18"/>
    </row>
    <row r="233" spans="2:8" x14ac:dyDescent="0.3">
      <c r="B233" s="18"/>
      <c r="C233" s="18"/>
      <c r="D233" s="18"/>
      <c r="E233" s="18"/>
      <c r="F233" s="18"/>
      <c r="G233" s="18"/>
      <c r="H233" s="18"/>
    </row>
    <row r="234" spans="2:8" x14ac:dyDescent="0.3">
      <c r="B234" s="18"/>
      <c r="C234" s="18"/>
      <c r="D234" s="18"/>
      <c r="E234" s="18"/>
      <c r="F234" s="18"/>
      <c r="G234" s="18"/>
      <c r="H234" s="18"/>
    </row>
    <row r="235" spans="2:8" x14ac:dyDescent="0.3">
      <c r="B235" s="18"/>
      <c r="C235" s="18"/>
      <c r="D235" s="18"/>
      <c r="E235" s="18"/>
      <c r="F235" s="18"/>
      <c r="G235" s="18"/>
      <c r="H235" s="18"/>
    </row>
    <row r="236" spans="2:8" x14ac:dyDescent="0.3">
      <c r="B236" s="18"/>
      <c r="C236" s="18"/>
      <c r="D236" s="18"/>
      <c r="E236" s="18"/>
      <c r="F236" s="18"/>
      <c r="G236" s="18"/>
      <c r="H236" s="18"/>
    </row>
    <row r="237" spans="2:8" x14ac:dyDescent="0.3">
      <c r="B237" s="18"/>
      <c r="C237" s="18"/>
      <c r="D237" s="18"/>
      <c r="E237" s="18"/>
      <c r="F237" s="18"/>
      <c r="G237" s="18"/>
      <c r="H237" s="18"/>
    </row>
    <row r="238" spans="2:8" x14ac:dyDescent="0.3">
      <c r="B238" s="18"/>
      <c r="C238" s="18"/>
      <c r="D238" s="18"/>
      <c r="E238" s="18"/>
      <c r="F238" s="18"/>
      <c r="G238" s="18"/>
      <c r="H238" s="18"/>
    </row>
    <row r="239" spans="2:8" x14ac:dyDescent="0.3">
      <c r="B239" s="18"/>
      <c r="C239" s="18"/>
      <c r="D239" s="18"/>
      <c r="E239" s="18"/>
      <c r="F239" s="18"/>
      <c r="G239" s="18"/>
      <c r="H239" s="18"/>
    </row>
    <row r="240" spans="2:8" x14ac:dyDescent="0.3">
      <c r="B240" s="18"/>
      <c r="C240" s="18"/>
      <c r="D240" s="18"/>
      <c r="E240" s="18"/>
      <c r="F240" s="18"/>
      <c r="G240" s="18"/>
      <c r="H240" s="18"/>
    </row>
    <row r="241" spans="2:8" x14ac:dyDescent="0.3">
      <c r="B241" s="18"/>
      <c r="C241" s="18"/>
      <c r="D241" s="18"/>
      <c r="E241" s="18"/>
      <c r="F241" s="18"/>
      <c r="G241" s="18"/>
      <c r="H241" s="18"/>
    </row>
    <row r="242" spans="2:8" x14ac:dyDescent="0.3">
      <c r="B242" s="18"/>
      <c r="C242" s="18"/>
      <c r="D242" s="18"/>
      <c r="E242" s="18"/>
      <c r="F242" s="18"/>
      <c r="G242" s="18"/>
      <c r="H242" s="18"/>
    </row>
    <row r="243" spans="2:8" x14ac:dyDescent="0.3">
      <c r="B243" s="18"/>
      <c r="C243" s="18"/>
      <c r="D243" s="18"/>
      <c r="E243" s="18"/>
      <c r="F243" s="18"/>
      <c r="G243" s="18"/>
      <c r="H243" s="18"/>
    </row>
    <row r="244" spans="2:8" x14ac:dyDescent="0.3">
      <c r="B244" s="18"/>
      <c r="C244" s="18"/>
      <c r="D244" s="18"/>
      <c r="E244" s="18"/>
      <c r="F244" s="18"/>
      <c r="G244" s="18"/>
      <c r="H244" s="18"/>
    </row>
    <row r="245" spans="2:8" x14ac:dyDescent="0.3">
      <c r="B245" s="18"/>
      <c r="C245" s="18"/>
      <c r="D245" s="18"/>
      <c r="E245" s="18"/>
      <c r="F245" s="18"/>
      <c r="G245" s="18"/>
      <c r="H245" s="18"/>
    </row>
    <row r="246" spans="2:8" x14ac:dyDescent="0.3">
      <c r="B246" s="18"/>
      <c r="C246" s="18"/>
      <c r="D246" s="18"/>
      <c r="E246" s="18"/>
      <c r="F246" s="18"/>
      <c r="G246" s="18"/>
      <c r="H246" s="18"/>
    </row>
    <row r="247" spans="2:8" x14ac:dyDescent="0.3">
      <c r="B247" s="18"/>
      <c r="C247" s="18"/>
      <c r="D247" s="18"/>
      <c r="E247" s="18"/>
      <c r="F247" s="18"/>
      <c r="G247" s="18"/>
      <c r="H247" s="18"/>
    </row>
    <row r="248" spans="2:8" x14ac:dyDescent="0.3">
      <c r="B248" s="18"/>
      <c r="C248" s="18"/>
      <c r="D248" s="18"/>
      <c r="E248" s="18"/>
      <c r="F248" s="18"/>
      <c r="G248" s="18"/>
      <c r="H248" s="18"/>
    </row>
    <row r="249" spans="2:8" x14ac:dyDescent="0.3">
      <c r="B249" s="18"/>
      <c r="C249" s="18"/>
      <c r="D249" s="18"/>
      <c r="E249" s="18"/>
      <c r="F249" s="18"/>
      <c r="G249" s="18"/>
      <c r="H249" s="18"/>
    </row>
    <row r="250" spans="2:8" x14ac:dyDescent="0.3">
      <c r="B250" s="18"/>
      <c r="C250" s="18"/>
      <c r="D250" s="18"/>
      <c r="E250" s="18"/>
      <c r="F250" s="18"/>
      <c r="G250" s="18"/>
      <c r="H250" s="18"/>
    </row>
    <row r="251" spans="2:8" x14ac:dyDescent="0.3">
      <c r="B251" s="18"/>
      <c r="C251" s="18"/>
      <c r="D251" s="18"/>
      <c r="E251" s="18"/>
      <c r="F251" s="18"/>
      <c r="G251" s="18"/>
      <c r="H251" s="18"/>
    </row>
    <row r="252" spans="2:8" x14ac:dyDescent="0.3">
      <c r="B252" s="18"/>
      <c r="C252" s="18"/>
      <c r="D252" s="18"/>
      <c r="E252" s="18"/>
      <c r="F252" s="18"/>
      <c r="G252" s="18"/>
      <c r="H252" s="18"/>
    </row>
    <row r="253" spans="2:8" x14ac:dyDescent="0.3">
      <c r="B253" s="18"/>
      <c r="C253" s="18"/>
      <c r="D253" s="18"/>
      <c r="E253" s="18"/>
      <c r="F253" s="18"/>
      <c r="G253" s="18"/>
      <c r="H253" s="18"/>
    </row>
    <row r="254" spans="2:8" x14ac:dyDescent="0.3">
      <c r="B254" s="18"/>
      <c r="C254" s="18"/>
      <c r="D254" s="18"/>
      <c r="E254" s="18"/>
      <c r="F254" s="18"/>
      <c r="G254" s="18"/>
      <c r="H254" s="18"/>
    </row>
    <row r="255" spans="2:8" x14ac:dyDescent="0.3">
      <c r="B255" s="18"/>
      <c r="C255" s="18"/>
      <c r="D255" s="18"/>
      <c r="E255" s="18"/>
      <c r="F255" s="18"/>
      <c r="G255" s="18"/>
      <c r="H255" s="18"/>
    </row>
    <row r="256" spans="2:8" x14ac:dyDescent="0.3">
      <c r="B256" s="18"/>
      <c r="C256" s="18"/>
      <c r="D256" s="18"/>
      <c r="E256" s="18"/>
      <c r="F256" s="18"/>
      <c r="G256" s="18"/>
      <c r="H256" s="18"/>
    </row>
    <row r="257" spans="2:8" x14ac:dyDescent="0.3">
      <c r="B257" s="18"/>
      <c r="C257" s="18"/>
      <c r="D257" s="18"/>
      <c r="E257" s="18"/>
      <c r="F257" s="18"/>
      <c r="G257" s="18"/>
      <c r="H257" s="18"/>
    </row>
    <row r="258" spans="2:8" x14ac:dyDescent="0.3">
      <c r="B258" s="18"/>
      <c r="C258" s="18"/>
      <c r="D258" s="18"/>
      <c r="E258" s="18"/>
      <c r="F258" s="18"/>
      <c r="G258" s="18"/>
      <c r="H258" s="18"/>
    </row>
    <row r="259" spans="2:8" x14ac:dyDescent="0.3">
      <c r="B259" s="18"/>
      <c r="C259" s="18"/>
      <c r="D259" s="18"/>
      <c r="E259" s="18"/>
      <c r="F259" s="18"/>
      <c r="G259" s="18"/>
      <c r="H259" s="18"/>
    </row>
    <row r="260" spans="2:8" x14ac:dyDescent="0.3">
      <c r="B260" s="18"/>
      <c r="C260" s="18"/>
      <c r="D260" s="18"/>
      <c r="E260" s="18"/>
      <c r="F260" s="18"/>
      <c r="G260" s="18"/>
      <c r="H260" s="18"/>
    </row>
    <row r="261" spans="2:8" x14ac:dyDescent="0.3">
      <c r="B261" s="18"/>
      <c r="C261" s="18"/>
      <c r="D261" s="18"/>
      <c r="E261" s="18"/>
      <c r="F261" s="18"/>
      <c r="G261" s="18"/>
      <c r="H261" s="18"/>
    </row>
    <row r="262" spans="2:8" x14ac:dyDescent="0.3">
      <c r="B262" s="18"/>
      <c r="C262" s="18"/>
      <c r="D262" s="18"/>
      <c r="E262" s="18"/>
      <c r="F262" s="18"/>
      <c r="G262" s="18"/>
      <c r="H262" s="18"/>
    </row>
    <row r="263" spans="2:8" x14ac:dyDescent="0.3">
      <c r="B263" s="18"/>
      <c r="C263" s="18"/>
      <c r="D263" s="18"/>
      <c r="E263" s="18"/>
      <c r="F263" s="18"/>
      <c r="G263" s="18"/>
      <c r="H263" s="18"/>
    </row>
    <row r="264" spans="2:8" x14ac:dyDescent="0.3">
      <c r="B264" s="18"/>
      <c r="C264" s="18"/>
      <c r="D264" s="18"/>
      <c r="E264" s="18"/>
      <c r="F264" s="18"/>
      <c r="G264" s="18"/>
      <c r="H264" s="18"/>
    </row>
    <row r="265" spans="2:8" x14ac:dyDescent="0.3">
      <c r="B265" s="18"/>
      <c r="C265" s="18"/>
      <c r="D265" s="18"/>
      <c r="E265" s="18"/>
      <c r="F265" s="18"/>
      <c r="G265" s="18"/>
      <c r="H265" s="18"/>
    </row>
    <row r="266" spans="2:8" x14ac:dyDescent="0.3">
      <c r="B266" s="18"/>
      <c r="C266" s="18"/>
      <c r="D266" s="18"/>
      <c r="E266" s="18"/>
      <c r="F266" s="18"/>
      <c r="G266" s="18"/>
      <c r="H266" s="18"/>
    </row>
    <row r="267" spans="2:8" x14ac:dyDescent="0.3">
      <c r="B267" s="18"/>
      <c r="C267" s="18"/>
      <c r="D267" s="18"/>
      <c r="E267" s="18"/>
      <c r="F267" s="18"/>
      <c r="G267" s="18"/>
      <c r="H267" s="18"/>
    </row>
    <row r="268" spans="2:8" x14ac:dyDescent="0.3">
      <c r="B268" s="18"/>
      <c r="C268" s="18"/>
      <c r="D268" s="18"/>
      <c r="E268" s="18"/>
      <c r="F268" s="18"/>
      <c r="G268" s="18"/>
      <c r="H268" s="18"/>
    </row>
    <row r="269" spans="2:8" x14ac:dyDescent="0.3">
      <c r="B269" s="18"/>
      <c r="C269" s="18"/>
      <c r="D269" s="18"/>
      <c r="E269" s="18"/>
      <c r="F269" s="18"/>
      <c r="G269" s="18"/>
      <c r="H269" s="18"/>
    </row>
    <row r="270" spans="2:8" x14ac:dyDescent="0.3">
      <c r="B270" s="18"/>
      <c r="C270" s="18"/>
      <c r="D270" s="18"/>
      <c r="E270" s="18"/>
      <c r="F270" s="18"/>
      <c r="G270" s="18"/>
      <c r="H270" s="18"/>
    </row>
    <row r="271" spans="2:8" x14ac:dyDescent="0.3">
      <c r="B271" s="18"/>
      <c r="C271" s="18"/>
      <c r="D271" s="18"/>
      <c r="E271" s="18"/>
      <c r="F271" s="18"/>
      <c r="G271" s="18"/>
      <c r="H271" s="18"/>
    </row>
    <row r="272" spans="2:8" x14ac:dyDescent="0.3">
      <c r="B272" s="18"/>
      <c r="C272" s="18"/>
      <c r="D272" s="18"/>
      <c r="E272" s="18"/>
      <c r="F272" s="18"/>
      <c r="G272" s="18"/>
      <c r="H272" s="18"/>
    </row>
    <row r="273" spans="2:8" x14ac:dyDescent="0.3">
      <c r="B273" s="18"/>
      <c r="C273" s="18"/>
      <c r="D273" s="18"/>
      <c r="E273" s="18"/>
      <c r="F273" s="18"/>
      <c r="G273" s="18"/>
      <c r="H273" s="18"/>
    </row>
    <row r="274" spans="2:8" x14ac:dyDescent="0.3">
      <c r="B274" s="18"/>
      <c r="C274" s="18"/>
      <c r="D274" s="18"/>
      <c r="E274" s="18"/>
      <c r="F274" s="18"/>
      <c r="G274" s="18"/>
      <c r="H274" s="18"/>
    </row>
    <row r="275" spans="2:8" x14ac:dyDescent="0.3">
      <c r="B275" s="18"/>
      <c r="C275" s="18"/>
      <c r="D275" s="18"/>
      <c r="E275" s="18"/>
      <c r="F275" s="18"/>
      <c r="G275" s="18"/>
      <c r="H275" s="18"/>
    </row>
    <row r="276" spans="2:8" x14ac:dyDescent="0.3">
      <c r="B276" s="18"/>
      <c r="C276" s="18"/>
      <c r="D276" s="18"/>
      <c r="E276" s="18"/>
      <c r="F276" s="18"/>
      <c r="G276" s="18"/>
      <c r="H276" s="18"/>
    </row>
    <row r="277" spans="2:8" x14ac:dyDescent="0.3">
      <c r="B277" s="18"/>
      <c r="C277" s="18"/>
      <c r="D277" s="18"/>
      <c r="E277" s="18"/>
      <c r="F277" s="18"/>
      <c r="G277" s="18"/>
      <c r="H277" s="18"/>
    </row>
    <row r="278" spans="2:8" x14ac:dyDescent="0.3">
      <c r="B278" s="18"/>
      <c r="C278" s="18"/>
      <c r="D278" s="18"/>
      <c r="E278" s="18"/>
      <c r="F278" s="18"/>
      <c r="G278" s="18"/>
      <c r="H278" s="18"/>
    </row>
    <row r="279" spans="2:8" x14ac:dyDescent="0.3">
      <c r="B279" s="18"/>
      <c r="C279" s="18"/>
      <c r="D279" s="18"/>
      <c r="E279" s="18"/>
      <c r="F279" s="18"/>
      <c r="G279" s="18"/>
      <c r="H279" s="18"/>
    </row>
    <row r="280" spans="2:8" x14ac:dyDescent="0.3">
      <c r="B280" s="18"/>
      <c r="C280" s="18"/>
      <c r="D280" s="18"/>
      <c r="E280" s="18"/>
      <c r="F280" s="18"/>
      <c r="G280" s="18"/>
      <c r="H280" s="18"/>
    </row>
    <row r="281" spans="2:8" x14ac:dyDescent="0.3">
      <c r="B281" s="18"/>
      <c r="C281" s="18"/>
      <c r="D281" s="18"/>
      <c r="E281" s="18"/>
      <c r="F281" s="18"/>
      <c r="G281" s="18"/>
      <c r="H281" s="18"/>
    </row>
    <row r="282" spans="2:8" x14ac:dyDescent="0.3">
      <c r="B282" s="18"/>
      <c r="C282" s="18"/>
      <c r="D282" s="18"/>
      <c r="E282" s="18"/>
      <c r="F282" s="18"/>
      <c r="G282" s="18"/>
      <c r="H282" s="18"/>
    </row>
    <row r="283" spans="2:8" x14ac:dyDescent="0.3">
      <c r="B283" s="18"/>
      <c r="C283" s="18"/>
      <c r="D283" s="18"/>
      <c r="E283" s="18"/>
      <c r="F283" s="18"/>
      <c r="G283" s="18"/>
      <c r="H283" s="18"/>
    </row>
    <row r="284" spans="2:8" x14ac:dyDescent="0.3">
      <c r="B284" s="18"/>
      <c r="C284" s="18"/>
      <c r="D284" s="18"/>
      <c r="E284" s="18"/>
      <c r="F284" s="18"/>
      <c r="G284" s="18"/>
      <c r="H284" s="18"/>
    </row>
    <row r="285" spans="2:8" x14ac:dyDescent="0.3">
      <c r="B285" s="18"/>
      <c r="C285" s="18"/>
      <c r="D285" s="18"/>
      <c r="E285" s="18"/>
      <c r="F285" s="18"/>
      <c r="G285" s="18"/>
      <c r="H285" s="18"/>
    </row>
    <row r="286" spans="2:8" x14ac:dyDescent="0.3">
      <c r="B286" s="18"/>
      <c r="C286" s="18"/>
      <c r="D286" s="18"/>
      <c r="E286" s="18"/>
      <c r="F286" s="18"/>
      <c r="G286" s="18"/>
      <c r="H286" s="18"/>
    </row>
    <row r="287" spans="2:8" x14ac:dyDescent="0.3">
      <c r="B287" s="18"/>
      <c r="C287" s="18"/>
      <c r="D287" s="18"/>
      <c r="E287" s="18"/>
      <c r="F287" s="18"/>
      <c r="G287" s="18"/>
      <c r="H287" s="18"/>
    </row>
    <row r="288" spans="2:8" x14ac:dyDescent="0.3">
      <c r="B288" s="18"/>
      <c r="C288" s="18"/>
      <c r="D288" s="18"/>
      <c r="E288" s="18"/>
      <c r="F288" s="18"/>
      <c r="G288" s="18"/>
      <c r="H288" s="18"/>
    </row>
    <row r="289" spans="2:8" x14ac:dyDescent="0.3">
      <c r="B289" s="18"/>
      <c r="C289" s="18"/>
      <c r="D289" s="18"/>
      <c r="E289" s="18"/>
      <c r="F289" s="18"/>
      <c r="G289" s="18"/>
      <c r="H289" s="18"/>
    </row>
    <row r="290" spans="2:8" x14ac:dyDescent="0.3">
      <c r="B290" s="18"/>
      <c r="C290" s="18"/>
      <c r="D290" s="18"/>
      <c r="E290" s="18"/>
      <c r="F290" s="18"/>
      <c r="G290" s="18"/>
      <c r="H290" s="18"/>
    </row>
    <row r="291" spans="2:8" x14ac:dyDescent="0.3">
      <c r="B291" s="18"/>
      <c r="C291" s="18"/>
      <c r="D291" s="18"/>
      <c r="E291" s="18"/>
      <c r="F291" s="18"/>
      <c r="G291" s="18"/>
      <c r="H291" s="18"/>
    </row>
    <row r="292" spans="2:8" x14ac:dyDescent="0.3">
      <c r="B292" s="18"/>
      <c r="C292" s="18"/>
      <c r="D292" s="18"/>
      <c r="E292" s="18"/>
      <c r="F292" s="18"/>
      <c r="G292" s="18"/>
      <c r="H292" s="18"/>
    </row>
    <row r="293" spans="2:8" x14ac:dyDescent="0.3">
      <c r="B293" s="18"/>
      <c r="C293" s="18"/>
      <c r="D293" s="18"/>
      <c r="E293" s="18"/>
      <c r="F293" s="18"/>
      <c r="G293" s="18"/>
      <c r="H293" s="18"/>
    </row>
    <row r="294" spans="2:8" x14ac:dyDescent="0.3">
      <c r="B294" s="18"/>
      <c r="C294" s="18"/>
      <c r="D294" s="18"/>
      <c r="E294" s="18"/>
      <c r="F294" s="18"/>
      <c r="G294" s="18"/>
      <c r="H294" s="18"/>
    </row>
    <row r="295" spans="2:8" x14ac:dyDescent="0.3">
      <c r="B295" s="18"/>
      <c r="C295" s="18"/>
      <c r="D295" s="18"/>
      <c r="E295" s="18"/>
      <c r="F295" s="18"/>
      <c r="G295" s="18"/>
      <c r="H295" s="18"/>
    </row>
    <row r="296" spans="2:8" x14ac:dyDescent="0.3">
      <c r="B296" s="18"/>
      <c r="C296" s="18"/>
      <c r="D296" s="18"/>
      <c r="E296" s="18"/>
      <c r="F296" s="18"/>
      <c r="G296" s="18"/>
      <c r="H296" s="18"/>
    </row>
    <row r="297" spans="2:8" x14ac:dyDescent="0.3">
      <c r="B297" s="18"/>
      <c r="C297" s="18"/>
      <c r="D297" s="18"/>
      <c r="E297" s="18"/>
      <c r="F297" s="18"/>
      <c r="G297" s="18"/>
      <c r="H297" s="18"/>
    </row>
    <row r="298" spans="2:8" x14ac:dyDescent="0.3">
      <c r="B298" s="18"/>
      <c r="C298" s="18"/>
      <c r="D298" s="18"/>
      <c r="E298" s="18"/>
      <c r="F298" s="18"/>
      <c r="G298" s="18"/>
      <c r="H298" s="18"/>
    </row>
    <row r="299" spans="2:8" x14ac:dyDescent="0.3">
      <c r="B299" s="18"/>
      <c r="C299" s="18"/>
      <c r="D299" s="18"/>
      <c r="E299" s="18"/>
      <c r="F299" s="18"/>
      <c r="G299" s="18"/>
      <c r="H299" s="18"/>
    </row>
    <row r="300" spans="2:8" x14ac:dyDescent="0.3">
      <c r="B300" s="18"/>
      <c r="C300" s="18"/>
      <c r="D300" s="18"/>
      <c r="E300" s="18"/>
      <c r="F300" s="18"/>
      <c r="G300" s="18"/>
      <c r="H300" s="18"/>
    </row>
    <row r="301" spans="2:8" x14ac:dyDescent="0.3">
      <c r="B301" s="18"/>
      <c r="C301" s="18"/>
      <c r="D301" s="18"/>
      <c r="E301" s="18"/>
      <c r="F301" s="18"/>
      <c r="G301" s="18"/>
      <c r="H301" s="18"/>
    </row>
    <row r="302" spans="2:8" x14ac:dyDescent="0.3">
      <c r="B302" s="18"/>
      <c r="C302" s="18"/>
      <c r="D302" s="18"/>
      <c r="E302" s="18"/>
      <c r="F302" s="18"/>
      <c r="G302" s="18"/>
      <c r="H302" s="18"/>
    </row>
    <row r="303" spans="2:8" x14ac:dyDescent="0.3">
      <c r="B303" s="18"/>
      <c r="C303" s="18"/>
      <c r="D303" s="18"/>
      <c r="E303" s="18"/>
      <c r="F303" s="18"/>
      <c r="G303" s="18"/>
      <c r="H303" s="18"/>
    </row>
    <row r="304" spans="2:8" x14ac:dyDescent="0.3">
      <c r="B304" s="18"/>
      <c r="C304" s="18"/>
      <c r="D304" s="18"/>
      <c r="E304" s="18"/>
      <c r="F304" s="18"/>
      <c r="G304" s="18"/>
      <c r="H304" s="18"/>
    </row>
    <row r="305" spans="2:8" x14ac:dyDescent="0.3">
      <c r="B305" s="18"/>
      <c r="C305" s="18"/>
      <c r="D305" s="18"/>
      <c r="E305" s="18"/>
      <c r="F305" s="18"/>
      <c r="G305" s="18"/>
      <c r="H305" s="18"/>
    </row>
    <row r="306" spans="2:8" x14ac:dyDescent="0.3">
      <c r="B306" s="18"/>
      <c r="C306" s="18"/>
      <c r="D306" s="18"/>
      <c r="E306" s="18"/>
      <c r="F306" s="18"/>
      <c r="G306" s="18"/>
      <c r="H306" s="18"/>
    </row>
    <row r="307" spans="2:8" x14ac:dyDescent="0.3">
      <c r="B307" s="18"/>
      <c r="C307" s="18"/>
      <c r="D307" s="18"/>
      <c r="E307" s="18"/>
      <c r="F307" s="18"/>
      <c r="G307" s="18"/>
      <c r="H307" s="18"/>
    </row>
    <row r="308" spans="2:8" x14ac:dyDescent="0.3">
      <c r="B308" s="18"/>
      <c r="C308" s="18"/>
      <c r="D308" s="18"/>
      <c r="E308" s="18"/>
      <c r="F308" s="18"/>
      <c r="G308" s="18"/>
      <c r="H308" s="18"/>
    </row>
    <row r="309" spans="2:8" x14ac:dyDescent="0.3">
      <c r="B309" s="18"/>
      <c r="C309" s="18"/>
      <c r="D309" s="18"/>
      <c r="E309" s="18"/>
      <c r="F309" s="18"/>
      <c r="G309" s="18"/>
      <c r="H309" s="18"/>
    </row>
    <row r="310" spans="2:8" x14ac:dyDescent="0.3">
      <c r="B310" s="18"/>
      <c r="C310" s="18"/>
      <c r="D310" s="18"/>
      <c r="E310" s="18"/>
      <c r="F310" s="18"/>
      <c r="G310" s="18"/>
      <c r="H310" s="18"/>
    </row>
    <row r="311" spans="2:8" x14ac:dyDescent="0.3">
      <c r="B311" s="18"/>
      <c r="C311" s="18"/>
      <c r="D311" s="18"/>
      <c r="E311" s="18"/>
      <c r="F311" s="18"/>
      <c r="G311" s="18"/>
      <c r="H311" s="18"/>
    </row>
    <row r="312" spans="2:8" x14ac:dyDescent="0.3">
      <c r="B312" s="18"/>
      <c r="C312" s="18"/>
      <c r="D312" s="18"/>
      <c r="E312" s="18"/>
      <c r="F312" s="18"/>
      <c r="G312" s="18"/>
      <c r="H312" s="18"/>
    </row>
    <row r="313" spans="2:8" x14ac:dyDescent="0.3">
      <c r="B313" s="18"/>
      <c r="C313" s="18"/>
      <c r="D313" s="18"/>
      <c r="E313" s="18"/>
      <c r="F313" s="18"/>
      <c r="G313" s="18"/>
      <c r="H313" s="18"/>
    </row>
    <row r="314" spans="2:8" x14ac:dyDescent="0.3">
      <c r="B314" s="18"/>
      <c r="C314" s="18"/>
      <c r="D314" s="18"/>
      <c r="E314" s="18"/>
      <c r="F314" s="18"/>
      <c r="G314" s="18"/>
      <c r="H314" s="18"/>
    </row>
    <row r="315" spans="2:8" x14ac:dyDescent="0.3">
      <c r="B315" s="18"/>
      <c r="C315" s="18"/>
      <c r="D315" s="18"/>
      <c r="E315" s="18"/>
      <c r="F315" s="18"/>
      <c r="G315" s="18"/>
      <c r="H315" s="18"/>
    </row>
    <row r="316" spans="2:8" x14ac:dyDescent="0.3">
      <c r="B316" s="18"/>
      <c r="C316" s="18"/>
      <c r="D316" s="18"/>
      <c r="E316" s="18"/>
      <c r="F316" s="18"/>
      <c r="G316" s="18"/>
      <c r="H316" s="18"/>
    </row>
    <row r="317" spans="2:8" x14ac:dyDescent="0.3">
      <c r="B317" s="18"/>
      <c r="C317" s="18"/>
      <c r="D317" s="18"/>
      <c r="E317" s="18"/>
      <c r="F317" s="18"/>
      <c r="G317" s="18"/>
      <c r="H317" s="18"/>
    </row>
    <row r="318" spans="2:8" x14ac:dyDescent="0.3">
      <c r="B318" s="18"/>
      <c r="C318" s="18"/>
      <c r="D318" s="18"/>
      <c r="E318" s="18"/>
      <c r="F318" s="18"/>
      <c r="G318" s="18"/>
      <c r="H318" s="18"/>
    </row>
    <row r="319" spans="2:8" x14ac:dyDescent="0.3">
      <c r="B319" s="18"/>
      <c r="C319" s="18"/>
      <c r="D319" s="18"/>
      <c r="E319" s="18"/>
      <c r="F319" s="18"/>
      <c r="G319" s="18"/>
      <c r="H319" s="18"/>
    </row>
    <row r="320" spans="2:8" x14ac:dyDescent="0.3">
      <c r="B320" s="18"/>
      <c r="C320" s="18"/>
      <c r="D320" s="18"/>
      <c r="E320" s="18"/>
      <c r="F320" s="18"/>
      <c r="G320" s="18"/>
      <c r="H320" s="18"/>
    </row>
    <row r="321" spans="2:8" x14ac:dyDescent="0.3">
      <c r="B321" s="18"/>
      <c r="C321" s="18"/>
      <c r="D321" s="18"/>
      <c r="E321" s="18"/>
      <c r="F321" s="18"/>
      <c r="G321" s="18"/>
      <c r="H321" s="18"/>
    </row>
    <row r="322" spans="2:8" x14ac:dyDescent="0.3">
      <c r="B322" s="18"/>
      <c r="C322" s="18"/>
      <c r="D322" s="18"/>
      <c r="E322" s="18"/>
      <c r="F322" s="18"/>
      <c r="G322" s="18"/>
      <c r="H322" s="18"/>
    </row>
    <row r="323" spans="2:8" x14ac:dyDescent="0.3">
      <c r="B323" s="18"/>
      <c r="C323" s="18"/>
      <c r="D323" s="18"/>
      <c r="E323" s="18"/>
      <c r="F323" s="18"/>
      <c r="G323" s="18"/>
      <c r="H323" s="18"/>
    </row>
    <row r="324" spans="2:8" x14ac:dyDescent="0.3">
      <c r="B324" s="18"/>
      <c r="C324" s="18"/>
      <c r="D324" s="18"/>
      <c r="E324" s="18"/>
      <c r="F324" s="18"/>
      <c r="G324" s="18"/>
      <c r="H324" s="18"/>
    </row>
    <row r="325" spans="2:8" x14ac:dyDescent="0.3">
      <c r="B325" s="18"/>
      <c r="C325" s="18"/>
      <c r="D325" s="18"/>
      <c r="E325" s="18"/>
      <c r="F325" s="18"/>
      <c r="G325" s="18"/>
      <c r="H325" s="18"/>
    </row>
    <row r="326" spans="2:8" x14ac:dyDescent="0.3">
      <c r="B326" s="18"/>
      <c r="C326" s="18"/>
      <c r="D326" s="18"/>
      <c r="E326" s="18"/>
      <c r="F326" s="18"/>
      <c r="G326" s="18"/>
      <c r="H326" s="18"/>
    </row>
    <row r="327" spans="2:8" x14ac:dyDescent="0.3">
      <c r="B327" s="18"/>
      <c r="C327" s="18"/>
      <c r="D327" s="18"/>
      <c r="E327" s="18"/>
      <c r="F327" s="18"/>
      <c r="G327" s="18"/>
      <c r="H327" s="18"/>
    </row>
    <row r="328" spans="2:8" x14ac:dyDescent="0.3">
      <c r="B328" s="18"/>
      <c r="C328" s="18"/>
      <c r="D328" s="18"/>
      <c r="E328" s="18"/>
      <c r="F328" s="18"/>
      <c r="G328" s="18"/>
      <c r="H328" s="18"/>
    </row>
    <row r="329" spans="2:8" x14ac:dyDescent="0.3">
      <c r="B329" s="18"/>
      <c r="C329" s="18"/>
      <c r="D329" s="18"/>
      <c r="E329" s="18"/>
      <c r="F329" s="18"/>
      <c r="G329" s="18"/>
      <c r="H329" s="18"/>
    </row>
    <row r="330" spans="2:8" x14ac:dyDescent="0.3">
      <c r="B330" s="18"/>
      <c r="C330" s="18"/>
      <c r="D330" s="18"/>
      <c r="E330" s="18"/>
      <c r="F330" s="18"/>
      <c r="G330" s="18"/>
      <c r="H330" s="18"/>
    </row>
    <row r="331" spans="2:8" x14ac:dyDescent="0.3">
      <c r="B331" s="18"/>
      <c r="C331" s="18"/>
      <c r="D331" s="18"/>
      <c r="E331" s="18"/>
      <c r="F331" s="18"/>
      <c r="G331" s="18"/>
      <c r="H331" s="18"/>
    </row>
    <row r="332" spans="2:8" x14ac:dyDescent="0.3">
      <c r="B332" s="18"/>
      <c r="C332" s="18"/>
      <c r="D332" s="18"/>
      <c r="E332" s="18"/>
      <c r="F332" s="18"/>
      <c r="G332" s="18"/>
      <c r="H332" s="18"/>
    </row>
    <row r="333" spans="2:8" x14ac:dyDescent="0.3">
      <c r="B333" s="18"/>
      <c r="C333" s="18"/>
      <c r="D333" s="18"/>
      <c r="E333" s="18"/>
      <c r="F333" s="18"/>
      <c r="G333" s="18"/>
      <c r="H333" s="18"/>
    </row>
    <row r="334" spans="2:8" x14ac:dyDescent="0.3">
      <c r="B334" s="18"/>
      <c r="C334" s="18"/>
      <c r="D334" s="18"/>
      <c r="E334" s="18"/>
      <c r="F334" s="18"/>
      <c r="G334" s="18"/>
      <c r="H334" s="18"/>
    </row>
    <row r="335" spans="2:8" x14ac:dyDescent="0.3">
      <c r="B335" s="18"/>
      <c r="C335" s="18"/>
      <c r="D335" s="18"/>
      <c r="E335" s="18"/>
      <c r="F335" s="18"/>
      <c r="G335" s="18"/>
      <c r="H335" s="18"/>
    </row>
    <row r="336" spans="2:8" x14ac:dyDescent="0.3">
      <c r="B336" s="18"/>
      <c r="C336" s="18"/>
      <c r="D336" s="18"/>
      <c r="E336" s="18"/>
      <c r="F336" s="18"/>
      <c r="G336" s="18"/>
      <c r="H336" s="18"/>
    </row>
    <row r="337" spans="2:8" x14ac:dyDescent="0.3">
      <c r="B337" s="18"/>
      <c r="C337" s="18"/>
      <c r="D337" s="18"/>
      <c r="E337" s="18"/>
      <c r="F337" s="18"/>
      <c r="G337" s="18"/>
      <c r="H337" s="18"/>
    </row>
    <row r="338" spans="2:8" x14ac:dyDescent="0.3">
      <c r="B338" s="18"/>
      <c r="C338" s="18"/>
      <c r="D338" s="18"/>
      <c r="E338" s="18"/>
      <c r="F338" s="18"/>
      <c r="G338" s="18"/>
      <c r="H338" s="18"/>
    </row>
    <row r="339" spans="2:8" x14ac:dyDescent="0.3">
      <c r="B339" s="18"/>
      <c r="C339" s="18"/>
      <c r="D339" s="18"/>
      <c r="E339" s="18"/>
      <c r="F339" s="18"/>
      <c r="G339" s="18"/>
      <c r="H339" s="18"/>
    </row>
    <row r="340" spans="2:8" x14ac:dyDescent="0.3">
      <c r="B340" s="18"/>
      <c r="C340" s="18"/>
      <c r="D340" s="18"/>
      <c r="E340" s="18"/>
      <c r="F340" s="18"/>
      <c r="G340" s="18"/>
      <c r="H340" s="18"/>
    </row>
    <row r="341" spans="2:8" x14ac:dyDescent="0.3">
      <c r="B341" s="18"/>
      <c r="C341" s="18"/>
      <c r="D341" s="18"/>
      <c r="E341" s="18"/>
      <c r="F341" s="18"/>
      <c r="G341" s="18"/>
      <c r="H341" s="18"/>
    </row>
    <row r="342" spans="2:8" x14ac:dyDescent="0.3">
      <c r="B342" s="18"/>
      <c r="C342" s="18"/>
      <c r="D342" s="18"/>
      <c r="E342" s="18"/>
      <c r="F342" s="18"/>
      <c r="G342" s="18"/>
      <c r="H342" s="18"/>
    </row>
    <row r="343" spans="2:8" x14ac:dyDescent="0.3">
      <c r="B343" s="18"/>
      <c r="C343" s="18"/>
      <c r="D343" s="18"/>
      <c r="E343" s="18"/>
      <c r="F343" s="18"/>
      <c r="G343" s="18"/>
      <c r="H343" s="18"/>
    </row>
    <row r="344" spans="2:8" x14ac:dyDescent="0.3">
      <c r="B344" s="18"/>
      <c r="C344" s="18"/>
      <c r="D344" s="18"/>
      <c r="E344" s="18"/>
      <c r="F344" s="18"/>
      <c r="G344" s="18"/>
      <c r="H344" s="18"/>
    </row>
    <row r="345" spans="2:8" x14ac:dyDescent="0.3">
      <c r="B345" s="18"/>
      <c r="C345" s="18"/>
      <c r="D345" s="18"/>
      <c r="E345" s="18"/>
      <c r="F345" s="18"/>
      <c r="G345" s="18"/>
      <c r="H345" s="18"/>
    </row>
    <row r="346" spans="2:8" x14ac:dyDescent="0.3">
      <c r="B346" s="18"/>
      <c r="C346" s="18"/>
      <c r="D346" s="18"/>
      <c r="E346" s="18"/>
      <c r="F346" s="18"/>
      <c r="G346" s="18"/>
      <c r="H346" s="18"/>
    </row>
    <row r="347" spans="2:8" x14ac:dyDescent="0.3">
      <c r="B347" s="18"/>
      <c r="C347" s="18"/>
      <c r="D347" s="18"/>
      <c r="E347" s="18"/>
      <c r="F347" s="18"/>
      <c r="G347" s="18"/>
      <c r="H347" s="18"/>
    </row>
    <row r="348" spans="2:8" x14ac:dyDescent="0.3">
      <c r="B348" s="18"/>
      <c r="C348" s="18"/>
      <c r="D348" s="18"/>
      <c r="E348" s="18"/>
      <c r="F348" s="18"/>
      <c r="G348" s="18"/>
      <c r="H348" s="18"/>
    </row>
    <row r="349" spans="2:8" x14ac:dyDescent="0.3">
      <c r="B349" s="18"/>
      <c r="C349" s="18"/>
      <c r="D349" s="18"/>
      <c r="E349" s="18"/>
      <c r="F349" s="18"/>
      <c r="G349" s="18"/>
      <c r="H349" s="18"/>
    </row>
    <row r="350" spans="2:8" x14ac:dyDescent="0.3">
      <c r="B350" s="18"/>
      <c r="C350" s="18"/>
      <c r="D350" s="18"/>
      <c r="E350" s="18"/>
      <c r="F350" s="18"/>
      <c r="G350" s="18"/>
      <c r="H350" s="18"/>
    </row>
    <row r="351" spans="2:8" x14ac:dyDescent="0.3">
      <c r="B351" s="18"/>
      <c r="C351" s="18"/>
      <c r="D351" s="18"/>
      <c r="E351" s="18"/>
      <c r="F351" s="18"/>
      <c r="G351" s="18"/>
      <c r="H351" s="18"/>
    </row>
    <row r="352" spans="2:8" x14ac:dyDescent="0.3">
      <c r="B352" s="18"/>
      <c r="C352" s="18"/>
      <c r="D352" s="18"/>
      <c r="E352" s="18"/>
      <c r="F352" s="18"/>
      <c r="G352" s="18"/>
      <c r="H352" s="18"/>
    </row>
    <row r="353" spans="2:8" x14ac:dyDescent="0.3">
      <c r="B353" s="18"/>
      <c r="C353" s="18"/>
      <c r="D353" s="18"/>
      <c r="E353" s="18"/>
      <c r="F353" s="18"/>
      <c r="G353" s="18"/>
      <c r="H353" s="18"/>
    </row>
    <row r="354" spans="2:8" x14ac:dyDescent="0.3">
      <c r="B354" s="18"/>
      <c r="C354" s="18"/>
      <c r="D354" s="18"/>
      <c r="E354" s="18"/>
      <c r="F354" s="18"/>
      <c r="G354" s="18"/>
      <c r="H354" s="18"/>
    </row>
    <row r="65531" spans="255:255" x14ac:dyDescent="0.3">
      <c r="IU65531">
        <v>0</v>
      </c>
    </row>
    <row r="65533" spans="255:255" x14ac:dyDescent="0.3">
      <c r="IU65533">
        <v>0</v>
      </c>
    </row>
  </sheetData>
  <mergeCells count="5">
    <mergeCell ref="C15:D15"/>
    <mergeCell ref="E15:E16"/>
    <mergeCell ref="F15:F16"/>
    <mergeCell ref="G15:G16"/>
    <mergeCell ref="H15:H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Data</vt:lpstr>
      <vt:lpstr>Model - s-curve</vt:lpstr>
      <vt:lpstr>Chart with s-curve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Farahat, Amr</dc:creator>
  <cp:lastModifiedBy>Amr Farahat</cp:lastModifiedBy>
  <dcterms:created xsi:type="dcterms:W3CDTF">2010-10-27T22:31:51Z</dcterms:created>
  <dcterms:modified xsi:type="dcterms:W3CDTF">2023-12-06T13:01:07Z</dcterms:modified>
</cp:coreProperties>
</file>