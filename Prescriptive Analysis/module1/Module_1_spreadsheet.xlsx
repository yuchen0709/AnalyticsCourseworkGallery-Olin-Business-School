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Filez\Desktop\25fall\Prescriptive Analysis\"/>
    </mc:Choice>
  </mc:AlternateContent>
  <xr:revisionPtr revIDLastSave="0" documentId="13_ncr:1_{223832C8-7765-4EC6-9D85-B4EA89C5D525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Problem 1" sheetId="3" r:id="rId1"/>
    <sheet name="Problem 2" sheetId="42" r:id="rId2"/>
    <sheet name="Problem 3" sheetId="43" r:id="rId3"/>
    <sheet name="Problem 4" sheetId="44" r:id="rId4"/>
    <sheet name="Problem 5" sheetId="45" r:id="rId5"/>
    <sheet name="Problem 6" sheetId="46" r:id="rId6"/>
    <sheet name="Problem 7" sheetId="47" r:id="rId7"/>
    <sheet name="Problem 8" sheetId="48" r:id="rId8"/>
    <sheet name="Problem 9" sheetId="49" r:id="rId9"/>
    <sheet name="Problem 10" sheetId="50" r:id="rId10"/>
  </sheets>
  <definedNames>
    <definedName name="solver_adj" localSheetId="0" hidden="1">'Problem 1'!$C$25:$F$25</definedName>
    <definedName name="solver_adj" localSheetId="1" hidden="1">'Problem 2'!$B$14:$G$14</definedName>
    <definedName name="solver_adj" localSheetId="2" hidden="1">'Problem 3'!$C$15:$G$16</definedName>
    <definedName name="solver_adj_ob" localSheetId="0" hidden="1">1</definedName>
    <definedName name="solver_adj_ob" localSheetId="9" hidden="1">1</definedName>
    <definedName name="solver_adj_ob" localSheetId="1" hidden="1">1</definedName>
    <definedName name="solver_adj_ob" localSheetId="2" hidden="1">1</definedName>
    <definedName name="solver_adj_ob" localSheetId="3" hidden="1">1</definedName>
    <definedName name="solver_adj_ob" localSheetId="4" hidden="1">1</definedName>
    <definedName name="solver_adj_ob" localSheetId="5" hidden="1">1</definedName>
    <definedName name="solver_adj_ob" localSheetId="6" hidden="1">1</definedName>
    <definedName name="solver_adj_ob" localSheetId="7" hidden="1">1</definedName>
    <definedName name="solver_adj_ob" localSheetId="8" hidden="1">1</definedName>
    <definedName name="solver_cha" localSheetId="0" hidden="1">0</definedName>
    <definedName name="solver_cha" localSheetId="9" hidden="1">0</definedName>
    <definedName name="solver_cha" localSheetId="1" hidden="1">0</definedName>
    <definedName name="solver_cha" localSheetId="2" hidden="1">0</definedName>
    <definedName name="solver_cha" localSheetId="3" hidden="1">0</definedName>
    <definedName name="solver_cha" localSheetId="4" hidden="1">0</definedName>
    <definedName name="solver_cha" localSheetId="5" hidden="1">0</definedName>
    <definedName name="solver_cha" localSheetId="6" hidden="1">0</definedName>
    <definedName name="solver_cha" localSheetId="7" hidden="1">0</definedName>
    <definedName name="solver_cha" localSheetId="8" hidden="1">0</definedName>
    <definedName name="solver_chc1" localSheetId="0" hidden="1">0</definedName>
    <definedName name="solver_chc1" localSheetId="9" hidden="1">0</definedName>
    <definedName name="solver_chc1" localSheetId="1" hidden="1">0</definedName>
    <definedName name="solver_chc1" localSheetId="2" hidden="1">0</definedName>
    <definedName name="solver_chc1" localSheetId="3" hidden="1">0</definedName>
    <definedName name="solver_chc1" localSheetId="4" hidden="1">0</definedName>
    <definedName name="solver_chc1" localSheetId="5" hidden="1">0</definedName>
    <definedName name="solver_chc1" localSheetId="6" hidden="1">0</definedName>
    <definedName name="solver_chc1" localSheetId="7" hidden="1">0</definedName>
    <definedName name="solver_chc1" localSheetId="8" hidden="1">0</definedName>
    <definedName name="solver_chc2" localSheetId="0" hidden="1">0</definedName>
    <definedName name="solver_chc2" localSheetId="9" hidden="1">0</definedName>
    <definedName name="solver_chc2" localSheetId="1" hidden="1">0</definedName>
    <definedName name="solver_chc2" localSheetId="2" hidden="1">0</definedName>
    <definedName name="solver_chc2" localSheetId="3" hidden="1">0</definedName>
    <definedName name="solver_chc2" localSheetId="4" hidden="1">0</definedName>
    <definedName name="solver_chc2" localSheetId="5" hidden="1">0</definedName>
    <definedName name="solver_chc2" localSheetId="6" hidden="1">0</definedName>
    <definedName name="solver_chc2" localSheetId="7" hidden="1">0</definedName>
    <definedName name="solver_chc2" localSheetId="8" hidden="1">0</definedName>
    <definedName name="solver_chc3" localSheetId="0" hidden="1">0</definedName>
    <definedName name="solver_chc3" localSheetId="9" hidden="1">0</definedName>
    <definedName name="solver_chc3" localSheetId="1" hidden="1">0</definedName>
    <definedName name="solver_chc3" localSheetId="2" hidden="1">0</definedName>
    <definedName name="solver_chc3" localSheetId="3" hidden="1">0</definedName>
    <definedName name="solver_chc3" localSheetId="4" hidden="1">0</definedName>
    <definedName name="solver_chc3" localSheetId="5" hidden="1">0</definedName>
    <definedName name="solver_chc3" localSheetId="6" hidden="1">0</definedName>
    <definedName name="solver_chc3" localSheetId="7" hidden="1">0</definedName>
    <definedName name="solver_chc3" localSheetId="8" hidden="1">0</definedName>
    <definedName name="solver_chc4" localSheetId="0" hidden="1">0</definedName>
    <definedName name="solver_chc4" localSheetId="9" hidden="1">0</definedName>
    <definedName name="solver_chc4" localSheetId="1" hidden="1">0</definedName>
    <definedName name="solver_chc4" localSheetId="2" hidden="1">0</definedName>
    <definedName name="solver_chc4" localSheetId="3" hidden="1">0</definedName>
    <definedName name="solver_chc4" localSheetId="4" hidden="1">0</definedName>
    <definedName name="solver_chc4" localSheetId="5" hidden="1">0</definedName>
    <definedName name="solver_chc4" localSheetId="6" hidden="1">0</definedName>
    <definedName name="solver_chc4" localSheetId="7" hidden="1">0</definedName>
    <definedName name="solver_chc4" localSheetId="8" hidden="1">0</definedName>
    <definedName name="solver_chn" localSheetId="0" hidden="1">4</definedName>
    <definedName name="solver_chn" localSheetId="9" hidden="1">4</definedName>
    <definedName name="solver_chn" localSheetId="1" hidden="1">4</definedName>
    <definedName name="solver_chn" localSheetId="2" hidden="1">4</definedName>
    <definedName name="solver_chn" localSheetId="3" hidden="1">4</definedName>
    <definedName name="solver_chn" localSheetId="4" hidden="1">4</definedName>
    <definedName name="solver_chn" localSheetId="5" hidden="1">4</definedName>
    <definedName name="solver_chn" localSheetId="6" hidden="1">4</definedName>
    <definedName name="solver_chn" localSheetId="7" hidden="1">4</definedName>
    <definedName name="solver_chn" localSheetId="8" hidden="1">4</definedName>
    <definedName name="solver_chp1" localSheetId="0" hidden="1">0</definedName>
    <definedName name="solver_chp1" localSheetId="9" hidden="1">0</definedName>
    <definedName name="solver_chp1" localSheetId="1" hidden="1">0</definedName>
    <definedName name="solver_chp1" localSheetId="2" hidden="1">0</definedName>
    <definedName name="solver_chp1" localSheetId="3" hidden="1">0</definedName>
    <definedName name="solver_chp1" localSheetId="4" hidden="1">0</definedName>
    <definedName name="solver_chp1" localSheetId="5" hidden="1">0</definedName>
    <definedName name="solver_chp1" localSheetId="6" hidden="1">0</definedName>
    <definedName name="solver_chp1" localSheetId="7" hidden="1">0</definedName>
    <definedName name="solver_chp1" localSheetId="8" hidden="1">0</definedName>
    <definedName name="solver_chp2" localSheetId="0" hidden="1">0</definedName>
    <definedName name="solver_chp2" localSheetId="9" hidden="1">0</definedName>
    <definedName name="solver_chp2" localSheetId="1" hidden="1">0</definedName>
    <definedName name="solver_chp2" localSheetId="2" hidden="1">0</definedName>
    <definedName name="solver_chp2" localSheetId="3" hidden="1">0</definedName>
    <definedName name="solver_chp2" localSheetId="4" hidden="1">0</definedName>
    <definedName name="solver_chp2" localSheetId="5" hidden="1">0</definedName>
    <definedName name="solver_chp2" localSheetId="6" hidden="1">0</definedName>
    <definedName name="solver_chp2" localSheetId="7" hidden="1">0</definedName>
    <definedName name="solver_chp2" localSheetId="8" hidden="1">0</definedName>
    <definedName name="solver_chp3" localSheetId="0" hidden="1">0</definedName>
    <definedName name="solver_chp3" localSheetId="9" hidden="1">0</definedName>
    <definedName name="solver_chp3" localSheetId="1" hidden="1">0</definedName>
    <definedName name="solver_chp3" localSheetId="2" hidden="1">0</definedName>
    <definedName name="solver_chp3" localSheetId="3" hidden="1">0</definedName>
    <definedName name="solver_chp3" localSheetId="4" hidden="1">0</definedName>
    <definedName name="solver_chp3" localSheetId="5" hidden="1">0</definedName>
    <definedName name="solver_chp3" localSheetId="6" hidden="1">0</definedName>
    <definedName name="solver_chp3" localSheetId="7" hidden="1">0</definedName>
    <definedName name="solver_chp3" localSheetId="8" hidden="1">0</definedName>
    <definedName name="solver_chp4" localSheetId="0" hidden="1">0</definedName>
    <definedName name="solver_chp4" localSheetId="9" hidden="1">0</definedName>
    <definedName name="solver_chp4" localSheetId="1" hidden="1">0</definedName>
    <definedName name="solver_chp4" localSheetId="2" hidden="1">0</definedName>
    <definedName name="solver_chp4" localSheetId="3" hidden="1">0</definedName>
    <definedName name="solver_chp4" localSheetId="4" hidden="1">0</definedName>
    <definedName name="solver_chp4" localSheetId="5" hidden="1">0</definedName>
    <definedName name="solver_chp4" localSheetId="6" hidden="1">0</definedName>
    <definedName name="solver_chp4" localSheetId="7" hidden="1">0</definedName>
    <definedName name="solver_chp4" localSheetId="8" hidden="1">0</definedName>
    <definedName name="solver_cht" localSheetId="0" hidden="1">0</definedName>
    <definedName name="solver_cht" localSheetId="9" hidden="1">0</definedName>
    <definedName name="solver_cht" localSheetId="1" hidden="1">0</definedName>
    <definedName name="solver_cht" localSheetId="2" hidden="1">0</definedName>
    <definedName name="solver_cht" localSheetId="3" hidden="1">0</definedName>
    <definedName name="solver_cht" localSheetId="4" hidden="1">0</definedName>
    <definedName name="solver_cht" localSheetId="5" hidden="1">0</definedName>
    <definedName name="solver_cht" localSheetId="6" hidden="1">0</definedName>
    <definedName name="solver_cht" localSheetId="7" hidden="1">0</definedName>
    <definedName name="solver_cht" localSheetId="8" hidden="1">0</definedName>
    <definedName name="solver_cir1" localSheetId="0" hidden="1">1</definedName>
    <definedName name="solver_cir1" localSheetId="9" hidden="1">1</definedName>
    <definedName name="solver_cir1" localSheetId="1" hidden="1">1</definedName>
    <definedName name="solver_cir1" localSheetId="2" hidden="1">1</definedName>
    <definedName name="solver_cir1" localSheetId="3" hidden="1">1</definedName>
    <definedName name="solver_cir1" localSheetId="4" hidden="1">1</definedName>
    <definedName name="solver_cir1" localSheetId="5" hidden="1">1</definedName>
    <definedName name="solver_cir1" localSheetId="6" hidden="1">1</definedName>
    <definedName name="solver_cir1" localSheetId="7" hidden="1">1</definedName>
    <definedName name="solver_cir1" localSheetId="8" hidden="1">1</definedName>
    <definedName name="solver_cir2" localSheetId="0" hidden="1">1</definedName>
    <definedName name="solver_cir2" localSheetId="9" hidden="1">1</definedName>
    <definedName name="solver_cir2" localSheetId="1" hidden="1">1</definedName>
    <definedName name="solver_cir2" localSheetId="2" hidden="1">1</definedName>
    <definedName name="solver_cir2" localSheetId="3" hidden="1">1</definedName>
    <definedName name="solver_cir2" localSheetId="4" hidden="1">1</definedName>
    <definedName name="solver_cir2" localSheetId="5" hidden="1">1</definedName>
    <definedName name="solver_cir2" localSheetId="6" hidden="1">1</definedName>
    <definedName name="solver_cir2" localSheetId="7" hidden="1">1</definedName>
    <definedName name="solver_cir2" localSheetId="8" hidden="1">1</definedName>
    <definedName name="solver_cir3" localSheetId="0" hidden="1">1</definedName>
    <definedName name="solver_cir3" localSheetId="9" hidden="1">1</definedName>
    <definedName name="solver_cir3" localSheetId="1" hidden="1">1</definedName>
    <definedName name="solver_cir3" localSheetId="2" hidden="1">1</definedName>
    <definedName name="solver_cir3" localSheetId="3" hidden="1">1</definedName>
    <definedName name="solver_cir3" localSheetId="4" hidden="1">1</definedName>
    <definedName name="solver_cir3" localSheetId="5" hidden="1">1</definedName>
    <definedName name="solver_cir3" localSheetId="6" hidden="1">1</definedName>
    <definedName name="solver_cir3" localSheetId="7" hidden="1">1</definedName>
    <definedName name="solver_cir3" localSheetId="8" hidden="1">1</definedName>
    <definedName name="solver_cir4" localSheetId="0" hidden="1">1</definedName>
    <definedName name="solver_cir4" localSheetId="9" hidden="1">1</definedName>
    <definedName name="solver_cir4" localSheetId="1" hidden="1">1</definedName>
    <definedName name="solver_cir4" localSheetId="2" hidden="1">1</definedName>
    <definedName name="solver_cir4" localSheetId="3" hidden="1">1</definedName>
    <definedName name="solver_cir4" localSheetId="4" hidden="1">1</definedName>
    <definedName name="solver_cir4" localSheetId="5" hidden="1">1</definedName>
    <definedName name="solver_cir4" localSheetId="6" hidden="1">1</definedName>
    <definedName name="solver_cir4" localSheetId="7" hidden="1">1</definedName>
    <definedName name="solver_cir4" localSheetId="8" hidden="1">1</definedName>
    <definedName name="solver_con" localSheetId="0" hidden="1">" "</definedName>
    <definedName name="solver_con" localSheetId="9" hidden="1">" "</definedName>
    <definedName name="solver_con" localSheetId="1" hidden="1">" "</definedName>
    <definedName name="solver_con" localSheetId="2" hidden="1">" "</definedName>
    <definedName name="solver_con" localSheetId="3" hidden="1">" "</definedName>
    <definedName name="solver_con" localSheetId="4" hidden="1">" "</definedName>
    <definedName name="solver_con" localSheetId="5" hidden="1">" "</definedName>
    <definedName name="solver_con" localSheetId="6" hidden="1">" "</definedName>
    <definedName name="solver_con" localSheetId="7" hidden="1">" "</definedName>
    <definedName name="solver_con" localSheetId="8" hidden="1">" "</definedName>
    <definedName name="solver_con1" localSheetId="0" hidden="1">"Assembly"</definedName>
    <definedName name="solver_con1" localSheetId="9" hidden="1">"Assembly"</definedName>
    <definedName name="solver_con1" localSheetId="1" hidden="1">"Assembly"</definedName>
    <definedName name="solver_con1" localSheetId="2" hidden="1">"Assembly"</definedName>
    <definedName name="solver_con1" localSheetId="3" hidden="1">"Assembly"</definedName>
    <definedName name="solver_con1" localSheetId="4" hidden="1">"Assembly"</definedName>
    <definedName name="solver_con1" localSheetId="5" hidden="1">"Assembly"</definedName>
    <definedName name="solver_con1" localSheetId="6" hidden="1">"Assembly"</definedName>
    <definedName name="solver_con1" localSheetId="7" hidden="1">"Assembly"</definedName>
    <definedName name="solver_con1" localSheetId="8" hidden="1">"Assembly"</definedName>
    <definedName name="solver_con2" localSheetId="0" hidden="1">"Inspection"</definedName>
    <definedName name="solver_con2" localSheetId="9" hidden="1">"Inspection"</definedName>
    <definedName name="solver_con2" localSheetId="1" hidden="1">"Inspection"</definedName>
    <definedName name="solver_con2" localSheetId="2" hidden="1">"Inspection"</definedName>
    <definedName name="solver_con2" localSheetId="3" hidden="1">"Inspection"</definedName>
    <definedName name="solver_con2" localSheetId="4" hidden="1">"Inspection"</definedName>
    <definedName name="solver_con2" localSheetId="5" hidden="1">"Inspection"</definedName>
    <definedName name="solver_con2" localSheetId="6" hidden="1">"Inspection"</definedName>
    <definedName name="solver_con2" localSheetId="7" hidden="1">"Inspection"</definedName>
    <definedName name="solver_con2" localSheetId="8" hidden="1">"Inspection"</definedName>
    <definedName name="solver_con3" localSheetId="0" hidden="1">"Sofa demand"</definedName>
    <definedName name="solver_con3" localSheetId="9" hidden="1">"Sofa demand"</definedName>
    <definedName name="solver_con3" localSheetId="1" hidden="1">"Sofa demand"</definedName>
    <definedName name="solver_con3" localSheetId="2" hidden="1">"Sofa demand"</definedName>
    <definedName name="solver_con3" localSheetId="3" hidden="1">"Sofa demand"</definedName>
    <definedName name="solver_con3" localSheetId="4" hidden="1">"Sofa demand"</definedName>
    <definedName name="solver_con3" localSheetId="5" hidden="1">"Sofa demand"</definedName>
    <definedName name="solver_con3" localSheetId="6" hidden="1">"Sofa demand"</definedName>
    <definedName name="solver_con3" localSheetId="7" hidden="1">"Sofa demand"</definedName>
    <definedName name="solver_con3" localSheetId="8" hidden="1">"Sofa demand"</definedName>
    <definedName name="solver_con4" localSheetId="0" hidden="1">"Tables demand"</definedName>
    <definedName name="solver_con4" localSheetId="9" hidden="1">"Tables demand"</definedName>
    <definedName name="solver_con4" localSheetId="1" hidden="1">"Tables demand"</definedName>
    <definedName name="solver_con4" localSheetId="2" hidden="1">"Tables demand"</definedName>
    <definedName name="solver_con4" localSheetId="3" hidden="1">"Tables demand"</definedName>
    <definedName name="solver_con4" localSheetId="4" hidden="1">"Tables demand"</definedName>
    <definedName name="solver_con4" localSheetId="5" hidden="1">"Tables demand"</definedName>
    <definedName name="solver_con4" localSheetId="6" hidden="1">"Tables demand"</definedName>
    <definedName name="solver_con4" localSheetId="7" hidden="1">"Tables demand"</definedName>
    <definedName name="solver_con4" localSheetId="8" hidden="1">"Tables demand"</definedName>
    <definedName name="solver_cvg" localSheetId="0" hidden="1">0.0001</definedName>
    <definedName name="solver_cvg" localSheetId="9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ia" localSheetId="0" hidden="1">5</definedName>
    <definedName name="solver_dia" localSheetId="9" hidden="1">5</definedName>
    <definedName name="solver_dia" localSheetId="1" hidden="1">5</definedName>
    <definedName name="solver_dia" localSheetId="2" hidden="1">5</definedName>
    <definedName name="solver_dia" localSheetId="3" hidden="1">5</definedName>
    <definedName name="solver_dia" localSheetId="4" hidden="1">5</definedName>
    <definedName name="solver_dia" localSheetId="5" hidden="1">5</definedName>
    <definedName name="solver_dia" localSheetId="6" hidden="1">5</definedName>
    <definedName name="solver_dia" localSheetId="7" hidden="1">5</definedName>
    <definedName name="solver_dia" localSheetId="8" hidden="1">5</definedName>
    <definedName name="solver_drv" localSheetId="0" hidden="1">1</definedName>
    <definedName name="solver_drv" localSheetId="9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 hidden="1">2</definedName>
    <definedName name="solver_eng" localSheetId="9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st" localSheetId="0" hidden="1">1</definedName>
    <definedName name="solver_est" localSheetId="9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val" hidden="1">0</definedName>
    <definedName name="solver_iao" localSheetId="0" hidden="1">0</definedName>
    <definedName name="solver_iao" localSheetId="9" hidden="1">0</definedName>
    <definedName name="solver_iao" localSheetId="1" hidden="1">0</definedName>
    <definedName name="solver_iao" localSheetId="2" hidden="1">0</definedName>
    <definedName name="solver_iao" localSheetId="3" hidden="1">0</definedName>
    <definedName name="solver_iao" localSheetId="4" hidden="1">0</definedName>
    <definedName name="solver_iao" localSheetId="5" hidden="1">0</definedName>
    <definedName name="solver_iao" localSheetId="6" hidden="1">0</definedName>
    <definedName name="solver_iao" localSheetId="7" hidden="1">0</definedName>
    <definedName name="solver_iao" localSheetId="8" hidden="1">0</definedName>
    <definedName name="solver_int" localSheetId="0" hidden="1">0</definedName>
    <definedName name="solver_int" localSheetId="9" hidden="1">0</definedName>
    <definedName name="solver_int" localSheetId="1" hidden="1">0</definedName>
    <definedName name="solver_int" localSheetId="2" hidden="1">0</definedName>
    <definedName name="solver_int" localSheetId="3" hidden="1">0</definedName>
    <definedName name="solver_int" localSheetId="4" hidden="1">0</definedName>
    <definedName name="solver_int" localSheetId="5" hidden="1">0</definedName>
    <definedName name="solver_int" localSheetId="6" hidden="1">0</definedName>
    <definedName name="solver_int" localSheetId="7" hidden="1">0</definedName>
    <definedName name="solver_int" localSheetId="8" hidden="1">0</definedName>
    <definedName name="solver_irs" localSheetId="0" hidden="1">0</definedName>
    <definedName name="solver_irs" localSheetId="9" hidden="1">0</definedName>
    <definedName name="solver_irs" localSheetId="1" hidden="1">0</definedName>
    <definedName name="solver_irs" localSheetId="2" hidden="1">0</definedName>
    <definedName name="solver_irs" localSheetId="3" hidden="1">0</definedName>
    <definedName name="solver_irs" localSheetId="4" hidden="1">0</definedName>
    <definedName name="solver_irs" localSheetId="5" hidden="1">0</definedName>
    <definedName name="solver_irs" localSheetId="6" hidden="1">0</definedName>
    <definedName name="solver_irs" localSheetId="7" hidden="1">0</definedName>
    <definedName name="solver_irs" localSheetId="8" hidden="1">0</definedName>
    <definedName name="solver_ism" localSheetId="0" hidden="1">0</definedName>
    <definedName name="solver_ism" localSheetId="9" hidden="1">0</definedName>
    <definedName name="solver_ism" localSheetId="1" hidden="1">0</definedName>
    <definedName name="solver_ism" localSheetId="2" hidden="1">0</definedName>
    <definedName name="solver_ism" localSheetId="3" hidden="1">0</definedName>
    <definedName name="solver_ism" localSheetId="4" hidden="1">0</definedName>
    <definedName name="solver_ism" localSheetId="5" hidden="1">0</definedName>
    <definedName name="solver_ism" localSheetId="6" hidden="1">0</definedName>
    <definedName name="solver_ism" localSheetId="7" hidden="1">0</definedName>
    <definedName name="solver_ism" localSheetId="8" hidden="1">0</definedName>
    <definedName name="solver_itr" localSheetId="0" hidden="1">2147483647</definedName>
    <definedName name="solver_itr" localSheetId="9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_ob1" localSheetId="0" hidden="1">0</definedName>
    <definedName name="solver_lhs_ob1" localSheetId="9" hidden="1">0</definedName>
    <definedName name="solver_lhs_ob1" localSheetId="1" hidden="1">0</definedName>
    <definedName name="solver_lhs_ob1" localSheetId="2" hidden="1">0</definedName>
    <definedName name="solver_lhs_ob1" localSheetId="3" hidden="1">0</definedName>
    <definedName name="solver_lhs_ob1" localSheetId="4" hidden="1">0</definedName>
    <definedName name="solver_lhs_ob1" localSheetId="5" hidden="1">0</definedName>
    <definedName name="solver_lhs_ob1" localSheetId="6" hidden="1">0</definedName>
    <definedName name="solver_lhs_ob1" localSheetId="7" hidden="1">0</definedName>
    <definedName name="solver_lhs_ob1" localSheetId="8" hidden="1">0</definedName>
    <definedName name="solver_lhs_ob2" localSheetId="0" hidden="1">0</definedName>
    <definedName name="solver_lhs_ob2" localSheetId="9" hidden="1">0</definedName>
    <definedName name="solver_lhs_ob2" localSheetId="1" hidden="1">0</definedName>
    <definedName name="solver_lhs_ob2" localSheetId="2" hidden="1">0</definedName>
    <definedName name="solver_lhs_ob2" localSheetId="3" hidden="1">0</definedName>
    <definedName name="solver_lhs_ob2" localSheetId="4" hidden="1">0</definedName>
    <definedName name="solver_lhs_ob2" localSheetId="5" hidden="1">0</definedName>
    <definedName name="solver_lhs_ob2" localSheetId="6" hidden="1">0</definedName>
    <definedName name="solver_lhs_ob2" localSheetId="7" hidden="1">0</definedName>
    <definedName name="solver_lhs_ob2" localSheetId="8" hidden="1">0</definedName>
    <definedName name="solver_lhs_ob3" localSheetId="0" hidden="1">0</definedName>
    <definedName name="solver_lhs_ob3" localSheetId="9" hidden="1">0</definedName>
    <definedName name="solver_lhs_ob3" localSheetId="1" hidden="1">0</definedName>
    <definedName name="solver_lhs_ob3" localSheetId="2" hidden="1">0</definedName>
    <definedName name="solver_lhs_ob3" localSheetId="3" hidden="1">0</definedName>
    <definedName name="solver_lhs_ob3" localSheetId="4" hidden="1">0</definedName>
    <definedName name="solver_lhs_ob3" localSheetId="5" hidden="1">0</definedName>
    <definedName name="solver_lhs_ob3" localSheetId="6" hidden="1">0</definedName>
    <definedName name="solver_lhs_ob3" localSheetId="7" hidden="1">0</definedName>
    <definedName name="solver_lhs_ob3" localSheetId="8" hidden="1">0</definedName>
    <definedName name="solver_lhs_ob4" localSheetId="0" hidden="1">0</definedName>
    <definedName name="solver_lhs_ob4" localSheetId="9" hidden="1">0</definedName>
    <definedName name="solver_lhs_ob4" localSheetId="1" hidden="1">0</definedName>
    <definedName name="solver_lhs_ob4" localSheetId="2" hidden="1">0</definedName>
    <definedName name="solver_lhs_ob4" localSheetId="3" hidden="1">0</definedName>
    <definedName name="solver_lhs_ob4" localSheetId="4" hidden="1">0</definedName>
    <definedName name="solver_lhs_ob4" localSheetId="5" hidden="1">0</definedName>
    <definedName name="solver_lhs_ob4" localSheetId="6" hidden="1">0</definedName>
    <definedName name="solver_lhs_ob4" localSheetId="7" hidden="1">0</definedName>
    <definedName name="solver_lhs_ob4" localSheetId="8" hidden="1">0</definedName>
    <definedName name="solver_lhs1" localSheetId="0" hidden="1">'Problem 1'!$C$25:$F$25</definedName>
    <definedName name="solver_lhs1" localSheetId="9" hidden="1">'Problem 10'!#REF!</definedName>
    <definedName name="solver_lhs1" localSheetId="1" hidden="1">'Problem 2'!$C$18:$C$23</definedName>
    <definedName name="solver_lhs1" localSheetId="2" hidden="1">'Problem 3'!$C$21:$C$22</definedName>
    <definedName name="solver_lhs1" localSheetId="3" hidden="1">'Problem 4'!#REF!</definedName>
    <definedName name="solver_lhs1" localSheetId="4" hidden="1">'Problem 5'!#REF!</definedName>
    <definedName name="solver_lhs1" localSheetId="5" hidden="1">'Problem 6'!#REF!</definedName>
    <definedName name="solver_lhs1" localSheetId="6" hidden="1">'Problem 7'!#REF!</definedName>
    <definedName name="solver_lhs1" localSheetId="7" hidden="1">'Problem 8'!#REF!</definedName>
    <definedName name="solver_lhs1" localSheetId="8" hidden="1">'Problem 9'!#REF!</definedName>
    <definedName name="solver_lhs2" localSheetId="0" hidden="1">'Problem 1'!$C$25:$F$25</definedName>
    <definedName name="solver_lhs2" localSheetId="9" hidden="1">'Problem 10'!#REF!</definedName>
    <definedName name="solver_lhs2" localSheetId="1" hidden="1">'Problem 2'!#REF!</definedName>
    <definedName name="solver_lhs2" localSheetId="2" hidden="1">'Problem 3'!$C$23:$C$27</definedName>
    <definedName name="solver_lhs2" localSheetId="3" hidden="1">'Problem 4'!#REF!</definedName>
    <definedName name="solver_lhs2" localSheetId="4" hidden="1">'Problem 5'!#REF!</definedName>
    <definedName name="solver_lhs2" localSheetId="5" hidden="1">'Problem 6'!#REF!</definedName>
    <definedName name="solver_lhs2" localSheetId="6" hidden="1">'Problem 7'!#REF!</definedName>
    <definedName name="solver_lhs2" localSheetId="7" hidden="1">'Problem 8'!#REF!</definedName>
    <definedName name="solver_lhs2" localSheetId="8" hidden="1">'Problem 9'!#REF!</definedName>
    <definedName name="solver_lhs3" localSheetId="0" hidden="1">'Problem 1'!$C$29:$C$30</definedName>
    <definedName name="solver_lhs3" localSheetId="9" hidden="1">'Problem 10'!#REF!</definedName>
    <definedName name="solver_lhs3" localSheetId="1" hidden="1">'Problem 2'!#REF!</definedName>
    <definedName name="solver_lhs3" localSheetId="2" hidden="1">'Problem 3'!#REF!</definedName>
    <definedName name="solver_lhs3" localSheetId="3" hidden="1">'Problem 4'!#REF!</definedName>
    <definedName name="solver_lhs3" localSheetId="4" hidden="1">'Problem 5'!#REF!</definedName>
    <definedName name="solver_lhs3" localSheetId="5" hidden="1">'Problem 6'!#REF!</definedName>
    <definedName name="solver_lhs3" localSheetId="6" hidden="1">'Problem 7'!#REF!</definedName>
    <definedName name="solver_lhs3" localSheetId="7" hidden="1">'Problem 8'!#REF!</definedName>
    <definedName name="solver_lhs3" localSheetId="8" hidden="1">'Problem 9'!#REF!</definedName>
    <definedName name="solver_lhs4" localSheetId="0" hidden="1">'Problem 1'!$C$31:$C$34</definedName>
    <definedName name="solver_lhs4" localSheetId="9" hidden="1">'Problem 10'!#REF!</definedName>
    <definedName name="solver_lhs4" localSheetId="1" hidden="1">'Problem 2'!#REF!</definedName>
    <definedName name="solver_lhs4" localSheetId="2" hidden="1">'Problem 3'!#REF!</definedName>
    <definedName name="solver_lhs4" localSheetId="3" hidden="1">'Problem 4'!#REF!</definedName>
    <definedName name="solver_lhs4" localSheetId="4" hidden="1">'Problem 5'!#REF!</definedName>
    <definedName name="solver_lhs4" localSheetId="5" hidden="1">'Problem 6'!#REF!</definedName>
    <definedName name="solver_lhs4" localSheetId="6" hidden="1">'Problem 7'!#REF!</definedName>
    <definedName name="solver_lhs4" localSheetId="7" hidden="1">'Problem 8'!#REF!</definedName>
    <definedName name="solver_lhs4" localSheetId="8" hidden="1">'Problem 9'!#REF!</definedName>
    <definedName name="solver_lin" localSheetId="0" hidden="1">2</definedName>
    <definedName name="solver_lin" localSheetId="9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lin" localSheetId="6" hidden="1">2</definedName>
    <definedName name="solver_lin" localSheetId="7" hidden="1">2</definedName>
    <definedName name="solver_lin" localSheetId="8" hidden="1">2</definedName>
    <definedName name="solver_mda" localSheetId="0" hidden="1">4</definedName>
    <definedName name="solver_mda" localSheetId="9" hidden="1">4</definedName>
    <definedName name="solver_mda" localSheetId="1" hidden="1">4</definedName>
    <definedName name="solver_mda" localSheetId="2" hidden="1">4</definedName>
    <definedName name="solver_mda" localSheetId="3" hidden="1">4</definedName>
    <definedName name="solver_mda" localSheetId="4" hidden="1">4</definedName>
    <definedName name="solver_mda" localSheetId="5" hidden="1">4</definedName>
    <definedName name="solver_mda" localSheetId="6" hidden="1">4</definedName>
    <definedName name="solver_mda" localSheetId="7" hidden="1">4</definedName>
    <definedName name="solver_mda" localSheetId="8" hidden="1">4</definedName>
    <definedName name="solver_mip" localSheetId="0" hidden="1">2147483647</definedName>
    <definedName name="solver_mip" localSheetId="9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9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od" localSheetId="0" hidden="1">3</definedName>
    <definedName name="solver_mod" localSheetId="9" hidden="1">3</definedName>
    <definedName name="solver_mod" localSheetId="1" hidden="1">3</definedName>
    <definedName name="solver_mod" localSheetId="2" hidden="1">3</definedName>
    <definedName name="solver_mod" localSheetId="3" hidden="1">3</definedName>
    <definedName name="solver_mod" localSheetId="4" hidden="1">3</definedName>
    <definedName name="solver_mod" localSheetId="5" hidden="1">3</definedName>
    <definedName name="solver_mod" localSheetId="6" hidden="1">3</definedName>
    <definedName name="solver_mod" localSheetId="7" hidden="1">3</definedName>
    <definedName name="solver_mod" localSheetId="8" hidden="1">3</definedName>
    <definedName name="solver_mrt" localSheetId="0" hidden="1">0.075</definedName>
    <definedName name="solver_mrt" localSheetId="9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9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9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9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pt" localSheetId="0" hidden="1">1</definedName>
    <definedName name="solver_nopt" localSheetId="9" hidden="1">1</definedName>
    <definedName name="solver_nopt" localSheetId="1" hidden="1">1</definedName>
    <definedName name="solver_nopt" localSheetId="2" hidden="1">1</definedName>
    <definedName name="solver_nopt" localSheetId="3" hidden="1">1</definedName>
    <definedName name="solver_nopt" localSheetId="4" hidden="1">1</definedName>
    <definedName name="solver_nopt" localSheetId="5" hidden="1">1</definedName>
    <definedName name="solver_nopt" localSheetId="6" hidden="1">1</definedName>
    <definedName name="solver_nopt" localSheetId="7" hidden="1">1</definedName>
    <definedName name="solver_nopt" localSheetId="8" hidden="1">1</definedName>
    <definedName name="solver_ntr" localSheetId="0" hidden="1">0</definedName>
    <definedName name="solver_ntr" localSheetId="9" hidden="1">0</definedName>
    <definedName name="solver_ntr" localSheetId="1" hidden="1">0</definedName>
    <definedName name="solver_ntr" localSheetId="2" hidden="1">0</definedName>
    <definedName name="solver_ntr" localSheetId="3" hidden="1">0</definedName>
    <definedName name="solver_ntr" localSheetId="4" hidden="1">0</definedName>
    <definedName name="solver_ntr" localSheetId="5" hidden="1">0</definedName>
    <definedName name="solver_ntr" localSheetId="6" hidden="1">0</definedName>
    <definedName name="solver_ntr" localSheetId="7" hidden="1">0</definedName>
    <definedName name="solver_ntr" localSheetId="8" hidden="1">0</definedName>
    <definedName name="solver_ntri" hidden="1">1000</definedName>
    <definedName name="solver_num" localSheetId="0" hidden="1">4</definedName>
    <definedName name="solver_num" localSheetId="9" hidden="1">0</definedName>
    <definedName name="solver_num" localSheetId="1" hidden="1">1</definedName>
    <definedName name="solver_num" localSheetId="2" hidden="1">2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wt" localSheetId="0" hidden="1">1</definedName>
    <definedName name="solver_nwt" localSheetId="9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bc" localSheetId="0" hidden="1">0</definedName>
    <definedName name="solver_obc" localSheetId="9" hidden="1">0</definedName>
    <definedName name="solver_obc" localSheetId="1" hidden="1">0</definedName>
    <definedName name="solver_obc" localSheetId="2" hidden="1">0</definedName>
    <definedName name="solver_obc" localSheetId="3" hidden="1">0</definedName>
    <definedName name="solver_obc" localSheetId="4" hidden="1">0</definedName>
    <definedName name="solver_obc" localSheetId="5" hidden="1">0</definedName>
    <definedName name="solver_obc" localSheetId="6" hidden="1">0</definedName>
    <definedName name="solver_obc" localSheetId="7" hidden="1">0</definedName>
    <definedName name="solver_obc" localSheetId="8" hidden="1">0</definedName>
    <definedName name="solver_obp" localSheetId="0" hidden="1">0</definedName>
    <definedName name="solver_obp" localSheetId="9" hidden="1">0</definedName>
    <definedName name="solver_obp" localSheetId="1" hidden="1">0</definedName>
    <definedName name="solver_obp" localSheetId="2" hidden="1">0</definedName>
    <definedName name="solver_obp" localSheetId="3" hidden="1">0</definedName>
    <definedName name="solver_obp" localSheetId="4" hidden="1">0</definedName>
    <definedName name="solver_obp" localSheetId="5" hidden="1">0</definedName>
    <definedName name="solver_obp" localSheetId="6" hidden="1">0</definedName>
    <definedName name="solver_obp" localSheetId="7" hidden="1">0</definedName>
    <definedName name="solver_obp" localSheetId="8" hidden="1">0</definedName>
    <definedName name="solver_opt" localSheetId="0" hidden="1">'Problem 1'!$C$27</definedName>
    <definedName name="solver_opt" localSheetId="1" hidden="1">'Problem 2'!$C$16</definedName>
    <definedName name="solver_opt" localSheetId="2" hidden="1">'Problem 3'!$C$18</definedName>
    <definedName name="solver_opt_ob" localSheetId="0" hidden="1">1</definedName>
    <definedName name="solver_opt_ob" localSheetId="9" hidden="1">1</definedName>
    <definedName name="solver_opt_ob" localSheetId="1" hidden="1">1</definedName>
    <definedName name="solver_opt_ob" localSheetId="2" hidden="1">1</definedName>
    <definedName name="solver_opt_ob" localSheetId="3" hidden="1">1</definedName>
    <definedName name="solver_opt_ob" localSheetId="4" hidden="1">1</definedName>
    <definedName name="solver_opt_ob" localSheetId="5" hidden="1">1</definedName>
    <definedName name="solver_opt_ob" localSheetId="6" hidden="1">1</definedName>
    <definedName name="solver_opt_ob" localSheetId="7" hidden="1">1</definedName>
    <definedName name="solver_opt_ob" localSheetId="8" hidden="1">1</definedName>
    <definedName name="solver_pre" localSheetId="0" hidden="1">0.000001</definedName>
    <definedName name="solver_pre" localSheetId="9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si" localSheetId="0" hidden="1">0</definedName>
    <definedName name="solver_psi" localSheetId="9" hidden="1">0</definedName>
    <definedName name="solver_psi" localSheetId="1" hidden="1">0</definedName>
    <definedName name="solver_psi" localSheetId="2" hidden="1">0</definedName>
    <definedName name="solver_psi" localSheetId="3" hidden="1">0</definedName>
    <definedName name="solver_psi" localSheetId="4" hidden="1">0</definedName>
    <definedName name="solver_psi" localSheetId="5" hidden="1">0</definedName>
    <definedName name="solver_psi" localSheetId="6" hidden="1">0</definedName>
    <definedName name="solver_psi" localSheetId="7" hidden="1">0</definedName>
    <definedName name="solver_psi" localSheetId="8" hidden="1">0</definedName>
    <definedName name="solver_rbv" localSheetId="0" hidden="1">1</definedName>
    <definedName name="solver_rbv" localSheetId="9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dp" localSheetId="0" hidden="1">0</definedName>
    <definedName name="solver_rdp" localSheetId="9" hidden="1">0</definedName>
    <definedName name="solver_rdp" localSheetId="1" hidden="1">0</definedName>
    <definedName name="solver_rdp" localSheetId="2" hidden="1">0</definedName>
    <definedName name="solver_rdp" localSheetId="3" hidden="1">0</definedName>
    <definedName name="solver_rdp" localSheetId="4" hidden="1">0</definedName>
    <definedName name="solver_rdp" localSheetId="5" hidden="1">0</definedName>
    <definedName name="solver_rdp" localSheetId="6" hidden="1">0</definedName>
    <definedName name="solver_rdp" localSheetId="7" hidden="1">0</definedName>
    <definedName name="solver_rdp" localSheetId="8" hidden="1">0</definedName>
    <definedName name="solver_rel1" localSheetId="0" hidden="1">1</definedName>
    <definedName name="solver_rel1" localSheetId="9" hidden="1">1</definedName>
    <definedName name="solver_rel1" localSheetId="1" hidden="1">3</definedName>
    <definedName name="solver_rel1" localSheetId="2" hidden="1">3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2" localSheetId="0" hidden="1">3</definedName>
    <definedName name="solver_rel2" localSheetId="9" hidden="1">3</definedName>
    <definedName name="solver_rel2" localSheetId="1" hidden="1">3</definedName>
    <definedName name="solver_rel2" localSheetId="2" hidden="1">1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3" localSheetId="0" hidden="1">1</definedName>
    <definedName name="solver_rel3" localSheetId="9" hidden="1">1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3" localSheetId="4" hidden="1">1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3" localSheetId="8" hidden="1">1</definedName>
    <definedName name="solver_rel4" localSheetId="0" hidden="1">1</definedName>
    <definedName name="solver_rel4" localSheetId="9" hidden="1">1</definedName>
    <definedName name="solver_rel4" localSheetId="1" hidden="1">1</definedName>
    <definedName name="solver_rel4" localSheetId="2" hidden="1">1</definedName>
    <definedName name="solver_rel4" localSheetId="3" hidden="1">1</definedName>
    <definedName name="solver_rel4" localSheetId="4" hidden="1">1</definedName>
    <definedName name="solver_rel4" localSheetId="5" hidden="1">1</definedName>
    <definedName name="solver_rel4" localSheetId="6" hidden="1">1</definedName>
    <definedName name="solver_rel4" localSheetId="7" hidden="1">1</definedName>
    <definedName name="solver_rel4" localSheetId="8" hidden="1">1</definedName>
    <definedName name="solver_rhs1" localSheetId="0" hidden="1">'Problem 1'!$C$13:$F$13</definedName>
    <definedName name="solver_rhs1" localSheetId="9" hidden="1">'Problem 10'!#REF!</definedName>
    <definedName name="solver_rhs1" localSheetId="1" hidden="1">'Problem 2'!$C$5:$C$10</definedName>
    <definedName name="solver_rhs1" localSheetId="2" hidden="1">'Problem 3'!$D$21:$D$22</definedName>
    <definedName name="solver_rhs1" localSheetId="3" hidden="1">'Problem 4'!#REF!</definedName>
    <definedName name="solver_rhs1" localSheetId="4" hidden="1">'Problem 5'!#REF!</definedName>
    <definedName name="solver_rhs1" localSheetId="5" hidden="1">'Problem 6'!#REF!</definedName>
    <definedName name="solver_rhs1" localSheetId="6" hidden="1">'Problem 7'!#REF!</definedName>
    <definedName name="solver_rhs1" localSheetId="7" hidden="1">'Problem 8'!#REF!</definedName>
    <definedName name="solver_rhs1" localSheetId="8" hidden="1">'Problem 9'!#REF!</definedName>
    <definedName name="solver_rhs2" localSheetId="0" hidden="1">'Problem 1'!$C$12:$F$12</definedName>
    <definedName name="solver_rhs2" localSheetId="9" hidden="1">'Problem 10'!#REF!</definedName>
    <definedName name="solver_rhs2" localSheetId="1" hidden="1">'Problem 2'!#REF!</definedName>
    <definedName name="solver_rhs2" localSheetId="2" hidden="1">'Problem 3'!$C$5:$C$9</definedName>
    <definedName name="solver_rhs2" localSheetId="3" hidden="1">'Problem 4'!#REF!</definedName>
    <definedName name="solver_rhs2" localSheetId="4" hidden="1">'Problem 5'!#REF!</definedName>
    <definedName name="solver_rhs2" localSheetId="5" hidden="1">'Problem 6'!#REF!</definedName>
    <definedName name="solver_rhs2" localSheetId="6" hidden="1">'Problem 7'!#REF!</definedName>
    <definedName name="solver_rhs2" localSheetId="7" hidden="1">'Problem 8'!#REF!</definedName>
    <definedName name="solver_rhs2" localSheetId="8" hidden="1">'Problem 9'!#REF!</definedName>
    <definedName name="solver_rhs3" localSheetId="0" hidden="1">'Problem 1'!$G$19:$G$20</definedName>
    <definedName name="solver_rhs3" localSheetId="9" hidden="1">'Problem 10'!#REF!</definedName>
    <definedName name="solver_rhs3" localSheetId="1" hidden="1">'Problem 2'!#REF!</definedName>
    <definedName name="solver_rhs3" localSheetId="2" hidden="1">'Problem 3'!#REF!</definedName>
    <definedName name="solver_rhs3" localSheetId="3" hidden="1">'Problem 4'!#REF!</definedName>
    <definedName name="solver_rhs3" localSheetId="4" hidden="1">'Problem 5'!#REF!</definedName>
    <definedName name="solver_rhs3" localSheetId="5" hidden="1">'Problem 6'!#REF!</definedName>
    <definedName name="solver_rhs3" localSheetId="6" hidden="1">'Problem 7'!#REF!</definedName>
    <definedName name="solver_rhs3" localSheetId="7" hidden="1">'Problem 8'!#REF!</definedName>
    <definedName name="solver_rhs3" localSheetId="8" hidden="1">'Problem 9'!#REF!</definedName>
    <definedName name="solver_rhs4" localSheetId="0" hidden="1">'Problem 1'!$D$31:$D$34</definedName>
    <definedName name="solver_rhs4" localSheetId="9" hidden="1">'Problem 10'!#REF!</definedName>
    <definedName name="solver_rhs4" localSheetId="1" hidden="1">'Problem 2'!#REF!</definedName>
    <definedName name="solver_rhs4" localSheetId="2" hidden="1">'Problem 3'!#REF!</definedName>
    <definedName name="solver_rhs4" localSheetId="3" hidden="1">'Problem 4'!#REF!</definedName>
    <definedName name="solver_rhs4" localSheetId="4" hidden="1">'Problem 5'!#REF!</definedName>
    <definedName name="solver_rhs4" localSheetId="5" hidden="1">'Problem 6'!#REF!</definedName>
    <definedName name="solver_rhs4" localSheetId="6" hidden="1">'Problem 7'!#REF!</definedName>
    <definedName name="solver_rhs4" localSheetId="7" hidden="1">'Problem 8'!#REF!</definedName>
    <definedName name="solver_rhs4" localSheetId="8" hidden="1">'Problem 9'!#REF!</definedName>
    <definedName name="solver_rlx" localSheetId="0" hidden="1">2</definedName>
    <definedName name="solver_rlx" localSheetId="9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9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mp" hidden="1">2</definedName>
    <definedName name="solver_rtr" localSheetId="0" hidden="1">0</definedName>
    <definedName name="solver_rtr" localSheetId="9" hidden="1">0</definedName>
    <definedName name="solver_rtr" localSheetId="1" hidden="1">0</definedName>
    <definedName name="solver_rtr" localSheetId="2" hidden="1">0</definedName>
    <definedName name="solver_rtr" localSheetId="3" hidden="1">0</definedName>
    <definedName name="solver_rtr" localSheetId="4" hidden="1">0</definedName>
    <definedName name="solver_rtr" localSheetId="5" hidden="1">0</definedName>
    <definedName name="solver_rtr" localSheetId="6" hidden="1">0</definedName>
    <definedName name="solver_rtr" localSheetId="7" hidden="1">0</definedName>
    <definedName name="solver_rtr" localSheetId="8" hidden="1">0</definedName>
    <definedName name="solver_rxc1" localSheetId="0" hidden="1">1</definedName>
    <definedName name="solver_rxc1" localSheetId="9" hidden="1">1</definedName>
    <definedName name="solver_rxc1" localSheetId="1" hidden="1">1</definedName>
    <definedName name="solver_rxc1" localSheetId="2" hidden="1">1</definedName>
    <definedName name="solver_rxc1" localSheetId="3" hidden="1">1</definedName>
    <definedName name="solver_rxc1" localSheetId="4" hidden="1">1</definedName>
    <definedName name="solver_rxc1" localSheetId="5" hidden="1">1</definedName>
    <definedName name="solver_rxc1" localSheetId="6" hidden="1">1</definedName>
    <definedName name="solver_rxc1" localSheetId="7" hidden="1">1</definedName>
    <definedName name="solver_rxc1" localSheetId="8" hidden="1">1</definedName>
    <definedName name="solver_rxc2" localSheetId="0" hidden="1">1</definedName>
    <definedName name="solver_rxc2" localSheetId="9" hidden="1">1</definedName>
    <definedName name="solver_rxc2" localSheetId="1" hidden="1">1</definedName>
    <definedName name="solver_rxc2" localSheetId="2" hidden="1">1</definedName>
    <definedName name="solver_rxc2" localSheetId="3" hidden="1">1</definedName>
    <definedName name="solver_rxc2" localSheetId="4" hidden="1">1</definedName>
    <definedName name="solver_rxc2" localSheetId="5" hidden="1">1</definedName>
    <definedName name="solver_rxc2" localSheetId="6" hidden="1">1</definedName>
    <definedName name="solver_rxc2" localSheetId="7" hidden="1">1</definedName>
    <definedName name="solver_rxc2" localSheetId="8" hidden="1">1</definedName>
    <definedName name="solver_rxc3" localSheetId="0" hidden="1">1</definedName>
    <definedName name="solver_rxc3" localSheetId="9" hidden="1">1</definedName>
    <definedName name="solver_rxc3" localSheetId="1" hidden="1">1</definedName>
    <definedName name="solver_rxc3" localSheetId="2" hidden="1">1</definedName>
    <definedName name="solver_rxc3" localSheetId="3" hidden="1">1</definedName>
    <definedName name="solver_rxc3" localSheetId="4" hidden="1">1</definedName>
    <definedName name="solver_rxc3" localSheetId="5" hidden="1">1</definedName>
    <definedName name="solver_rxc3" localSheetId="6" hidden="1">1</definedName>
    <definedName name="solver_rxc3" localSheetId="7" hidden="1">1</definedName>
    <definedName name="solver_rxc3" localSheetId="8" hidden="1">1</definedName>
    <definedName name="solver_rxc4" localSheetId="0" hidden="1">1</definedName>
    <definedName name="solver_rxc4" localSheetId="9" hidden="1">1</definedName>
    <definedName name="solver_rxc4" localSheetId="1" hidden="1">1</definedName>
    <definedName name="solver_rxc4" localSheetId="2" hidden="1">1</definedName>
    <definedName name="solver_rxc4" localSheetId="3" hidden="1">1</definedName>
    <definedName name="solver_rxc4" localSheetId="4" hidden="1">1</definedName>
    <definedName name="solver_rxc4" localSheetId="5" hidden="1">1</definedName>
    <definedName name="solver_rxc4" localSheetId="6" hidden="1">1</definedName>
    <definedName name="solver_rxc4" localSheetId="7" hidden="1">1</definedName>
    <definedName name="solver_rxc4" localSheetId="8" hidden="1">1</definedName>
    <definedName name="solver_rxv" localSheetId="0" hidden="1">1</definedName>
    <definedName name="solver_rxv" localSheetId="9" hidden="1">1</definedName>
    <definedName name="solver_rxv" localSheetId="1" hidden="1">1</definedName>
    <definedName name="solver_rxv" localSheetId="2" hidden="1">1</definedName>
    <definedName name="solver_rxv" localSheetId="3" hidden="1">1</definedName>
    <definedName name="solver_rxv" localSheetId="4" hidden="1">1</definedName>
    <definedName name="solver_rxv" localSheetId="5" hidden="1">1</definedName>
    <definedName name="solver_rxv" localSheetId="6" hidden="1">1</definedName>
    <definedName name="solver_rxv" localSheetId="7" hidden="1">1</definedName>
    <definedName name="solver_rxv" localSheetId="8" hidden="1">1</definedName>
    <definedName name="solver_scl" localSheetId="0" hidden="1">1</definedName>
    <definedName name="solver_scl" localSheetId="9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eed" hidden="1">0</definedName>
    <definedName name="solver_sel" localSheetId="0" hidden="1">1</definedName>
    <definedName name="solver_sel" localSheetId="9" hidden="1">1</definedName>
    <definedName name="solver_sel" localSheetId="1" hidden="1">1</definedName>
    <definedName name="solver_sel" localSheetId="2" hidden="1">1</definedName>
    <definedName name="solver_sel" localSheetId="3" hidden="1">1</definedName>
    <definedName name="solver_sel" localSheetId="4" hidden="1">1</definedName>
    <definedName name="solver_sel" localSheetId="5" hidden="1">1</definedName>
    <definedName name="solver_sel" localSheetId="6" hidden="1">1</definedName>
    <definedName name="solver_sel" localSheetId="7" hidden="1">1</definedName>
    <definedName name="solver_sel" localSheetId="8" hidden="1">1</definedName>
    <definedName name="solver_sho" localSheetId="0" hidden="1">2</definedName>
    <definedName name="solver_sho" localSheetId="9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lv" localSheetId="0" hidden="1">0</definedName>
    <definedName name="solver_slv" localSheetId="9" hidden="1">0</definedName>
    <definedName name="solver_slv" localSheetId="1" hidden="1">0</definedName>
    <definedName name="solver_slv" localSheetId="2" hidden="1">0</definedName>
    <definedName name="solver_slv" localSheetId="3" hidden="1">0</definedName>
    <definedName name="solver_slv" localSheetId="4" hidden="1">0</definedName>
    <definedName name="solver_slv" localSheetId="5" hidden="1">0</definedName>
    <definedName name="solver_slv" localSheetId="6" hidden="1">0</definedName>
    <definedName name="solver_slv" localSheetId="7" hidden="1">0</definedName>
    <definedName name="solver_slv" localSheetId="8" hidden="1">0</definedName>
    <definedName name="solver_slvu" localSheetId="0" hidden="1">0</definedName>
    <definedName name="solver_slvu" localSheetId="9" hidden="1">0</definedName>
    <definedName name="solver_slvu" localSheetId="1" hidden="1">0</definedName>
    <definedName name="solver_slvu" localSheetId="2" hidden="1">0</definedName>
    <definedName name="solver_slvu" localSheetId="3" hidden="1">0</definedName>
    <definedName name="solver_slvu" localSheetId="4" hidden="1">0</definedName>
    <definedName name="solver_slvu" localSheetId="5" hidden="1">0</definedName>
    <definedName name="solver_slvu" localSheetId="6" hidden="1">0</definedName>
    <definedName name="solver_slvu" localSheetId="7" hidden="1">0</definedName>
    <definedName name="solver_slvu" localSheetId="8" hidden="1">0</definedName>
    <definedName name="solver_ssz" localSheetId="0" hidden="1">100</definedName>
    <definedName name="solver_ssz" localSheetId="9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9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9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1</definedName>
    <definedName name="solver_typ" localSheetId="9" hidden="1">1</definedName>
    <definedName name="solver_typ" localSheetId="1" hidden="1">2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umod" localSheetId="0" hidden="1">1</definedName>
    <definedName name="solver_umod" localSheetId="9" hidden="1">1</definedName>
    <definedName name="solver_umod" localSheetId="1" hidden="1">1</definedName>
    <definedName name="solver_umod" localSheetId="2" hidden="1">1</definedName>
    <definedName name="solver_umod" localSheetId="3" hidden="1">1</definedName>
    <definedName name="solver_umod" localSheetId="4" hidden="1">1</definedName>
    <definedName name="solver_umod" localSheetId="5" hidden="1">1</definedName>
    <definedName name="solver_umod" localSheetId="6" hidden="1">1</definedName>
    <definedName name="solver_umod" localSheetId="7" hidden="1">1</definedName>
    <definedName name="solver_umod" localSheetId="8" hidden="1">1</definedName>
    <definedName name="solver_urs" localSheetId="0" hidden="1">0</definedName>
    <definedName name="solver_urs" localSheetId="9" hidden="1">0</definedName>
    <definedName name="solver_urs" localSheetId="1" hidden="1">0</definedName>
    <definedName name="solver_urs" localSheetId="2" hidden="1">0</definedName>
    <definedName name="solver_urs" localSheetId="3" hidden="1">0</definedName>
    <definedName name="solver_urs" localSheetId="4" hidden="1">0</definedName>
    <definedName name="solver_urs" localSheetId="5" hidden="1">0</definedName>
    <definedName name="solver_urs" localSheetId="6" hidden="1">0</definedName>
    <definedName name="solver_urs" localSheetId="7" hidden="1">0</definedName>
    <definedName name="solver_urs" localSheetId="8" hidden="1">0</definedName>
    <definedName name="solver_userid" localSheetId="0" hidden="1">" "</definedName>
    <definedName name="solver_userid" localSheetId="9" hidden="1">" "</definedName>
    <definedName name="solver_userid" localSheetId="1" hidden="1">" "</definedName>
    <definedName name="solver_userid" localSheetId="2" hidden="1">" "</definedName>
    <definedName name="solver_userid" localSheetId="3" hidden="1">" "</definedName>
    <definedName name="solver_userid" localSheetId="4" hidden="1">" "</definedName>
    <definedName name="solver_userid" localSheetId="5" hidden="1">" "</definedName>
    <definedName name="solver_userid" localSheetId="6" hidden="1">" "</definedName>
    <definedName name="solver_userid" localSheetId="7" hidden="1">" "</definedName>
    <definedName name="solver_userid" localSheetId="8" hidden="1">" "</definedName>
    <definedName name="solver_val" localSheetId="0" hidden="1">0</definedName>
    <definedName name="solver_val" localSheetId="9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r" localSheetId="0" hidden="1">" "</definedName>
    <definedName name="solver_var" localSheetId="9" hidden="1">" "</definedName>
    <definedName name="solver_var" localSheetId="1" hidden="1">" "</definedName>
    <definedName name="solver_var" localSheetId="2" hidden="1">" "</definedName>
    <definedName name="solver_var" localSheetId="3" hidden="1">" "</definedName>
    <definedName name="solver_var" localSheetId="4" hidden="1">" "</definedName>
    <definedName name="solver_var" localSheetId="5" hidden="1">" "</definedName>
    <definedName name="solver_var" localSheetId="6" hidden="1">" "</definedName>
    <definedName name="solver_var" localSheetId="7" hidden="1">" "</definedName>
    <definedName name="solver_var" localSheetId="8" hidden="1">" "</definedName>
    <definedName name="solver_ver" localSheetId="0" hidden="1">3</definedName>
    <definedName name="solver_ver" localSheetId="9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ir" localSheetId="0" hidden="1">1</definedName>
    <definedName name="solver_vir" localSheetId="9" hidden="1">1</definedName>
    <definedName name="solver_vir" localSheetId="1" hidden="1">1</definedName>
    <definedName name="solver_vir" localSheetId="2" hidden="1">1</definedName>
    <definedName name="solver_vir" localSheetId="3" hidden="1">1</definedName>
    <definedName name="solver_vir" localSheetId="4" hidden="1">1</definedName>
    <definedName name="solver_vir" localSheetId="5" hidden="1">1</definedName>
    <definedName name="solver_vir" localSheetId="6" hidden="1">1</definedName>
    <definedName name="solver_vir" localSheetId="7" hidden="1">1</definedName>
    <definedName name="solver_vir" localSheetId="8" hidden="1">1</definedName>
    <definedName name="solver_vol" localSheetId="0" hidden="1">0</definedName>
    <definedName name="solver_vol" localSheetId="9" hidden="1">0</definedName>
    <definedName name="solver_vol" localSheetId="1" hidden="1">0</definedName>
    <definedName name="solver_vol" localSheetId="2" hidden="1">0</definedName>
    <definedName name="solver_vol" localSheetId="3" hidden="1">0</definedName>
    <definedName name="solver_vol" localSheetId="4" hidden="1">0</definedName>
    <definedName name="solver_vol" localSheetId="5" hidden="1">0</definedName>
    <definedName name="solver_vol" localSheetId="6" hidden="1">0</definedName>
    <definedName name="solver_vol" localSheetId="7" hidden="1">0</definedName>
    <definedName name="solver_vol" localSheetId="8" hidden="1">0</definedName>
    <definedName name="solver_vst" localSheetId="0" hidden="1">0</definedName>
    <definedName name="solver_vst" localSheetId="9" hidden="1">0</definedName>
    <definedName name="solver_vst" localSheetId="1" hidden="1">0</definedName>
    <definedName name="solver_vst" localSheetId="2" hidden="1">0</definedName>
    <definedName name="solver_vst" localSheetId="3" hidden="1">0</definedName>
    <definedName name="solver_vst" localSheetId="4" hidden="1">0</definedName>
    <definedName name="solver_vst" localSheetId="5" hidden="1">0</definedName>
    <definedName name="solver_vst" localSheetId="6" hidden="1">0</definedName>
    <definedName name="solver_vst" localSheetId="7" hidden="1">0</definedName>
    <definedName name="solver_vst" localSheetId="8" hidden="1">0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2" i="43" l="1"/>
  <c r="C21" i="43"/>
  <c r="H16" i="43"/>
  <c r="D22" i="43" s="1"/>
  <c r="H15" i="43"/>
  <c r="D21" i="43" s="1"/>
  <c r="C27" i="43"/>
  <c r="C26" i="43"/>
  <c r="C25" i="43"/>
  <c r="C24" i="43"/>
  <c r="C23" i="43"/>
  <c r="C18" i="43"/>
  <c r="C16" i="42"/>
  <c r="C23" i="42"/>
  <c r="C22" i="42"/>
  <c r="C21" i="42"/>
  <c r="C20" i="42"/>
  <c r="C19" i="42"/>
  <c r="C18" i="42"/>
  <c r="C34" i="3"/>
  <c r="C33" i="3"/>
  <c r="C32" i="3"/>
  <c r="C31" i="3"/>
  <c r="C30" i="3"/>
  <c r="C29" i="3"/>
  <c r="C27" i="3"/>
</calcChain>
</file>

<file path=xl/sharedStrings.xml><?xml version="1.0" encoding="utf-8"?>
<sst xmlns="http://schemas.openxmlformats.org/spreadsheetml/2006/main" count="171" uniqueCount="107">
  <si>
    <t>CONSTRAINTS</t>
  </si>
  <si>
    <t>DECISIONS VARIABLES</t>
  </si>
  <si>
    <t>OBJECTIVE FUNCTION</t>
  </si>
  <si>
    <t>PROBLEM 1 - Molokai Nut Company</t>
  </si>
  <si>
    <t>PROBLEM 2 - Theme Park Scheduling</t>
  </si>
  <si>
    <t>PROBLEM 3 - Holiday Fruit Company</t>
  </si>
  <si>
    <t>PROBLEM 4 - Bank Assets</t>
  </si>
  <si>
    <t>PROBLEM 5 - Valu-Com</t>
  </si>
  <si>
    <t>PROBLEM 6 - Riverside Oil Company</t>
  </si>
  <si>
    <t>PROBLEM 7 - Weedwacker Company</t>
  </si>
  <si>
    <t>PROBLEM 8 - Springfield City Police</t>
  </si>
  <si>
    <t>PROBLEM 9 - Swift &amp; Kelce Music Band</t>
  </si>
  <si>
    <t>PROBLEM 10 - Exam Classroom Allocation</t>
  </si>
  <si>
    <t>Whole</t>
  </si>
  <si>
    <t>Cluster</t>
  </si>
  <si>
    <t>Crunch</t>
  </si>
  <si>
    <t>Roasted</t>
  </si>
  <si>
    <t>Packaging</t>
  </si>
  <si>
    <t>Time Period</t>
  </si>
  <si>
    <t>Minimum Employees Needed</t>
  </si>
  <si>
    <t>12 a.m. to 4 a.m.</t>
  </si>
  <si>
    <t>4 a.m. to 8 a.m.</t>
  </si>
  <si>
    <t>8 a.m. to 12 p.m.</t>
  </si>
  <si>
    <t>12 p.m. to 4 p.m.</t>
  </si>
  <si>
    <t>4 p.m. to 8 p.m.</t>
  </si>
  <si>
    <t>8 p.m. to 12 a.m.</t>
  </si>
  <si>
    <t>Grade</t>
  </si>
  <si>
    <t>Supply 
(1000s of lbs)</t>
  </si>
  <si>
    <t>Per Unit Requirements</t>
  </si>
  <si>
    <t>HyperLink</t>
  </si>
  <si>
    <t>FastLink</t>
  </si>
  <si>
    <t>SpeedLink</t>
  </si>
  <si>
    <t>MicroLink</t>
  </si>
  <si>
    <t>EtherLink</t>
  </si>
  <si>
    <t>PC Board</t>
  </si>
  <si>
    <t>Resistors</t>
  </si>
  <si>
    <t>Memory Chips</t>
  </si>
  <si>
    <t>Assembly Labor</t>
  </si>
  <si>
    <t>Per Unit Revenues and Costs</t>
  </si>
  <si>
    <t>Wholesale Price</t>
  </si>
  <si>
    <t>Manufacturing Cost</t>
  </si>
  <si>
    <t>Input</t>
  </si>
  <si>
    <t>Cost per Barrel</t>
  </si>
  <si>
    <t>Octane Rating</t>
  </si>
  <si>
    <t>Barrels Available 
(in 1000s)</t>
  </si>
  <si>
    <t>Hours Required per Trimmer</t>
  </si>
  <si>
    <t>Electric</t>
  </si>
  <si>
    <t>Gas</t>
  </si>
  <si>
    <t>Hours Available</t>
  </si>
  <si>
    <t>Production</t>
  </si>
  <si>
    <t>Assembly</t>
  </si>
  <si>
    <t>DATA</t>
  </si>
  <si>
    <t>Pounds produced</t>
  </si>
  <si>
    <t>Min Req'd</t>
  </si>
  <si>
    <t>Max Needed</t>
  </si>
  <si>
    <t>Unit Selling Price</t>
  </si>
  <si>
    <t>Unit Variable Cost</t>
  </si>
  <si>
    <t>Machine Use</t>
  </si>
  <si>
    <t>Minutes required per pound</t>
  </si>
  <si>
    <t>Available</t>
  </si>
  <si>
    <t xml:space="preserve">  Hulling</t>
  </si>
  <si>
    <t xml:space="preserve">  Roasting</t>
  </si>
  <si>
    <t xml:space="preserve">  Coating</t>
  </si>
  <si>
    <t xml:space="preserve">  Packaging</t>
  </si>
  <si>
    <t>Direct Materials</t>
  </si>
  <si>
    <t xml:space="preserve">  Nuts</t>
  </si>
  <si>
    <t xml:space="preserve">  Chocolate</t>
  </si>
  <si>
    <t>DAT5567 - Prescriptive Analytics - Module 1 - Optimization Modeling; Excel Implementation using Solver</t>
  </si>
  <si>
    <t>Total Profit</t>
    <phoneticPr fontId="3" type="noConversion"/>
  </si>
  <si>
    <t>Nuts constraints</t>
    <phoneticPr fontId="3" type="noConversion"/>
  </si>
  <si>
    <t>Chocolate cons</t>
    <phoneticPr fontId="3" type="noConversion"/>
  </si>
  <si>
    <t>Hulling machine</t>
    <phoneticPr fontId="3" type="noConversion"/>
  </si>
  <si>
    <t>Roasting machine</t>
    <phoneticPr fontId="3" type="noConversion"/>
  </si>
  <si>
    <t>Coating machine</t>
    <phoneticPr fontId="3" type="noConversion"/>
  </si>
  <si>
    <t>Packaging machine</t>
    <phoneticPr fontId="3" type="noConversion"/>
  </si>
  <si>
    <t>Upper</t>
    <phoneticPr fontId="3" type="noConversion"/>
  </si>
  <si>
    <t>Value</t>
    <phoneticPr fontId="3" type="noConversion"/>
  </si>
  <si>
    <t>Pounds produced</t>
    <phoneticPr fontId="3" type="noConversion"/>
  </si>
  <si>
    <t>Ingredients required per pound</t>
    <phoneticPr fontId="3" type="noConversion"/>
  </si>
  <si>
    <t>12 a.m. to 4 a.m.</t>
    <phoneticPr fontId="6" type="noConversion"/>
  </si>
  <si>
    <t>P6+P1</t>
    <phoneticPr fontId="6" type="noConversion"/>
  </si>
  <si>
    <t>P1+P2</t>
    <phoneticPr fontId="6" type="noConversion"/>
  </si>
  <si>
    <t>P2+P3</t>
    <phoneticPr fontId="6" type="noConversion"/>
  </si>
  <si>
    <t>P3+P4</t>
    <phoneticPr fontId="6" type="noConversion"/>
  </si>
  <si>
    <t>P4+P5</t>
    <phoneticPr fontId="6" type="noConversion"/>
  </si>
  <si>
    <t>Employees for 2 consecutive time period</t>
    <phoneticPr fontId="6" type="noConversion"/>
  </si>
  <si>
    <t>P5+P6</t>
    <phoneticPr fontId="6" type="noConversion"/>
  </si>
  <si>
    <t>Total employees schuduled(times)</t>
    <phoneticPr fontId="6" type="noConversion"/>
  </si>
  <si>
    <t>Number of employees starting to work at P1-P6</t>
    <phoneticPr fontId="6" type="noConversion"/>
  </si>
  <si>
    <t>cons</t>
    <phoneticPr fontId="6" type="noConversion"/>
  </si>
  <si>
    <t>Lower</t>
    <phoneticPr fontId="6" type="noConversion"/>
  </si>
  <si>
    <t>Value</t>
    <phoneticPr fontId="6" type="noConversion"/>
  </si>
  <si>
    <t>Lbs for basket</t>
    <phoneticPr fontId="6" type="noConversion"/>
  </si>
  <si>
    <t>Lbs for juice</t>
    <phoneticPr fontId="6" type="noConversion"/>
  </si>
  <si>
    <t>Grade</t>
    <phoneticPr fontId="6" type="noConversion"/>
  </si>
  <si>
    <t>Profit Margin</t>
    <phoneticPr fontId="6" type="noConversion"/>
  </si>
  <si>
    <t>Basket</t>
    <phoneticPr fontId="6" type="noConversion"/>
  </si>
  <si>
    <t>Juice</t>
    <phoneticPr fontId="6" type="noConversion"/>
  </si>
  <si>
    <t>Total Profit</t>
    <phoneticPr fontId="6" type="noConversion"/>
  </si>
  <si>
    <t>Total</t>
    <phoneticPr fontId="6" type="noConversion"/>
  </si>
  <si>
    <t>Grade 1 Lbs</t>
    <phoneticPr fontId="6" type="noConversion"/>
  </si>
  <si>
    <t>Grade 2 Lbs</t>
  </si>
  <si>
    <t>Grade 3 Lbs</t>
  </si>
  <si>
    <t>Grade 4 Lbs</t>
  </si>
  <si>
    <t>Grade 5 Lbs</t>
  </si>
  <si>
    <t>Weighted total grade of juice</t>
    <phoneticPr fontId="6" type="noConversion"/>
  </si>
  <si>
    <t>Weighted total grade of baskets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</si>
</sst>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.00_);[Red]\(0.00\)"/>
  </numFmts>
  <fonts count="1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scheme val="minor"/>
    </font>
    <font>
      <b/>
      <sz val="11"/>
      <color rgb="FFC00000"/>
      <name val="宋体"/>
      <family val="2"/>
      <scheme val="minor"/>
    </font>
    <font>
      <sz val="11"/>
      <color rgb="FFC00000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b/>
      <sz val="10"/>
      <color rgb="FFC00000"/>
      <name val="Microsoft YaHei UI"/>
      <family val="2"/>
      <charset val="134"/>
    </font>
    <font>
      <sz val="10"/>
      <color rgb="FFC00000"/>
      <name val="Microsoft YaHei UI"/>
      <family val="2"/>
      <charset val="134"/>
    </font>
    <font>
      <i/>
      <sz val="10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/>
    </xf>
    <xf numFmtId="0" fontId="8" fillId="0" borderId="0" xfId="1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8" fillId="0" borderId="0" xfId="0" applyNumberFormat="1" applyFont="1"/>
    <xf numFmtId="4" fontId="8" fillId="0" borderId="0" xfId="0" applyNumberFormat="1" applyFont="1"/>
    <xf numFmtId="3" fontId="8" fillId="0" borderId="0" xfId="0" applyNumberFormat="1" applyFont="1"/>
    <xf numFmtId="4" fontId="8" fillId="0" borderId="0" xfId="0" applyNumberFormat="1" applyFont="1" applyAlignment="1">
      <alignment horizontal="center"/>
    </xf>
    <xf numFmtId="44" fontId="8" fillId="0" borderId="0" xfId="2" applyFont="1" applyAlignment="1">
      <alignment wrapText="1"/>
    </xf>
    <xf numFmtId="0" fontId="8" fillId="0" borderId="0" xfId="0" applyFont="1" applyAlignment="1">
      <alignment horizontal="center"/>
    </xf>
    <xf numFmtId="4" fontId="8" fillId="0" borderId="2" xfId="0" applyNumberFormat="1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4" fontId="8" fillId="0" borderId="5" xfId="0" applyNumberFormat="1" applyFont="1" applyBorder="1"/>
    <xf numFmtId="2" fontId="8" fillId="0" borderId="0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/>
    <xf numFmtId="0" fontId="8" fillId="0" borderId="7" xfId="0" applyFont="1" applyBorder="1"/>
    <xf numFmtId="2" fontId="8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/>
    <xf numFmtId="0" fontId="8" fillId="0" borderId="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/>
    <xf numFmtId="0" fontId="11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18" xfId="0" applyFont="1" applyBorder="1"/>
    <xf numFmtId="2" fontId="8" fillId="0" borderId="19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1" fontId="8" fillId="0" borderId="0" xfId="1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2" borderId="0" xfId="0" applyFont="1" applyFill="1"/>
    <xf numFmtId="4" fontId="8" fillId="2" borderId="0" xfId="0" applyNumberFormat="1" applyFont="1" applyFill="1"/>
    <xf numFmtId="3" fontId="8" fillId="2" borderId="0" xfId="0" applyNumberFormat="1" applyFont="1" applyFill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66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H34"/>
  <sheetViews>
    <sheetView showGridLines="0" topLeftCell="A10" zoomScale="110" zoomScaleNormal="110" zoomScalePageLayoutView="110" workbookViewId="0">
      <selection activeCell="C27" sqref="C27"/>
    </sheetView>
  </sheetViews>
  <sheetFormatPr defaultColWidth="8.796875" defaultRowHeight="13.9" x14ac:dyDescent="0.45"/>
  <cols>
    <col min="1" max="1" width="21" style="9" customWidth="1"/>
    <col min="2" max="2" width="23.06640625" style="9" customWidth="1"/>
    <col min="3" max="3" width="18.796875" style="9" customWidth="1"/>
    <col min="4" max="6" width="15.796875" style="9" customWidth="1"/>
    <col min="7" max="7" width="15.796875" style="14" customWidth="1"/>
    <col min="8" max="8" width="15.796875" style="9" customWidth="1"/>
    <col min="9" max="16384" width="8.796875" style="9"/>
  </cols>
  <sheetData>
    <row r="1" spans="1:8" ht="14.65" x14ac:dyDescent="0.5">
      <c r="A1" s="8" t="s">
        <v>67</v>
      </c>
      <c r="C1" s="14"/>
      <c r="D1" s="14"/>
      <c r="E1" s="14"/>
      <c r="F1" s="14"/>
      <c r="H1" s="14"/>
    </row>
    <row r="2" spans="1:8" ht="14.65" x14ac:dyDescent="0.5">
      <c r="A2" s="11" t="s">
        <v>3</v>
      </c>
      <c r="B2" s="12"/>
      <c r="C2" s="14"/>
      <c r="D2" s="14"/>
      <c r="E2" s="14"/>
      <c r="F2" s="14"/>
      <c r="H2" s="14"/>
    </row>
    <row r="3" spans="1:8" x14ac:dyDescent="0.45">
      <c r="C3" s="14"/>
      <c r="D3" s="14"/>
      <c r="E3" s="14"/>
      <c r="F3" s="14"/>
      <c r="H3" s="14"/>
    </row>
    <row r="4" spans="1:8" ht="15" thickBot="1" x14ac:dyDescent="0.55000000000000004">
      <c r="A4" s="8" t="s">
        <v>51</v>
      </c>
      <c r="C4" s="21" t="s">
        <v>58</v>
      </c>
      <c r="D4" s="21"/>
      <c r="E4" s="21"/>
      <c r="F4" s="21"/>
      <c r="H4" s="14"/>
    </row>
    <row r="5" spans="1:8" ht="14.65" x14ac:dyDescent="0.5">
      <c r="A5" s="8"/>
      <c r="B5" s="22" t="s">
        <v>57</v>
      </c>
      <c r="C5" s="23" t="s">
        <v>13</v>
      </c>
      <c r="D5" s="23" t="s">
        <v>14</v>
      </c>
      <c r="E5" s="23" t="s">
        <v>15</v>
      </c>
      <c r="F5" s="23" t="s">
        <v>16</v>
      </c>
      <c r="G5" s="24" t="s">
        <v>59</v>
      </c>
      <c r="H5" s="14"/>
    </row>
    <row r="6" spans="1:8" ht="14.65" x14ac:dyDescent="0.5">
      <c r="A6" s="8"/>
      <c r="B6" s="25" t="s">
        <v>60</v>
      </c>
      <c r="C6" s="26">
        <v>1</v>
      </c>
      <c r="D6" s="26">
        <v>1</v>
      </c>
      <c r="E6" s="26">
        <v>1</v>
      </c>
      <c r="F6" s="26">
        <v>1</v>
      </c>
      <c r="G6" s="27">
        <v>3600</v>
      </c>
      <c r="H6" s="14"/>
    </row>
    <row r="7" spans="1:8" ht="14.65" x14ac:dyDescent="0.5">
      <c r="A7" s="8"/>
      <c r="B7" s="25" t="s">
        <v>61</v>
      </c>
      <c r="C7" s="26">
        <v>2</v>
      </c>
      <c r="D7" s="26">
        <v>1.5</v>
      </c>
      <c r="E7" s="26">
        <v>1</v>
      </c>
      <c r="F7" s="26">
        <v>1.75</v>
      </c>
      <c r="G7" s="27">
        <v>3600</v>
      </c>
      <c r="H7" s="14"/>
    </row>
    <row r="8" spans="1:8" x14ac:dyDescent="0.45">
      <c r="B8" s="28" t="s">
        <v>62</v>
      </c>
      <c r="C8" s="26">
        <v>1</v>
      </c>
      <c r="D8" s="26">
        <v>0.7</v>
      </c>
      <c r="E8" s="26">
        <v>0.2</v>
      </c>
      <c r="F8" s="26">
        <v>0</v>
      </c>
      <c r="G8" s="27">
        <v>3600</v>
      </c>
      <c r="H8" s="14"/>
    </row>
    <row r="9" spans="1:8" ht="14.25" thickBot="1" x14ac:dyDescent="0.5">
      <c r="B9" s="29" t="s">
        <v>63</v>
      </c>
      <c r="C9" s="30">
        <v>2.5</v>
      </c>
      <c r="D9" s="30">
        <v>1.6</v>
      </c>
      <c r="E9" s="30">
        <v>1.25</v>
      </c>
      <c r="F9" s="30">
        <v>1</v>
      </c>
      <c r="G9" s="31">
        <v>3600</v>
      </c>
      <c r="H9" s="14"/>
    </row>
    <row r="10" spans="1:8" ht="14.25" thickBot="1" x14ac:dyDescent="0.5">
      <c r="B10" s="32"/>
      <c r="C10" s="33" t="s">
        <v>13</v>
      </c>
      <c r="D10" s="33" t="s">
        <v>14</v>
      </c>
      <c r="E10" s="33" t="s">
        <v>15</v>
      </c>
      <c r="F10" s="33" t="s">
        <v>16</v>
      </c>
      <c r="H10" s="14"/>
    </row>
    <row r="11" spans="1:8" ht="14.65" x14ac:dyDescent="0.5">
      <c r="A11" s="8"/>
      <c r="B11" s="34" t="s">
        <v>77</v>
      </c>
      <c r="C11" s="35">
        <v>1000</v>
      </c>
      <c r="D11" s="35">
        <v>500</v>
      </c>
      <c r="E11" s="35">
        <v>80</v>
      </c>
      <c r="F11" s="36">
        <v>200</v>
      </c>
      <c r="H11" s="14"/>
    </row>
    <row r="12" spans="1:8" x14ac:dyDescent="0.45">
      <c r="B12" s="37" t="s">
        <v>53</v>
      </c>
      <c r="C12" s="38">
        <v>1000</v>
      </c>
      <c r="D12" s="38">
        <v>400</v>
      </c>
      <c r="E12" s="38">
        <v>0</v>
      </c>
      <c r="F12" s="39">
        <v>0</v>
      </c>
      <c r="H12" s="14"/>
    </row>
    <row r="13" spans="1:8" ht="14.25" thickBot="1" x14ac:dyDescent="0.5">
      <c r="B13" s="40" t="s">
        <v>54</v>
      </c>
      <c r="C13" s="41">
        <v>99999</v>
      </c>
      <c r="D13" s="41">
        <v>500</v>
      </c>
      <c r="E13" s="41">
        <v>150</v>
      </c>
      <c r="F13" s="42">
        <v>200</v>
      </c>
      <c r="H13" s="14"/>
    </row>
    <row r="14" spans="1:8" ht="14.25" thickBot="1" x14ac:dyDescent="0.5">
      <c r="C14" s="43"/>
      <c r="D14" s="43"/>
      <c r="E14" s="43"/>
      <c r="F14" s="44"/>
      <c r="H14" s="14"/>
    </row>
    <row r="15" spans="1:8" x14ac:dyDescent="0.45">
      <c r="B15" s="45" t="s">
        <v>55</v>
      </c>
      <c r="C15" s="46">
        <v>5</v>
      </c>
      <c r="D15" s="46">
        <v>4</v>
      </c>
      <c r="E15" s="46">
        <v>3.2</v>
      </c>
      <c r="F15" s="47">
        <v>4.5</v>
      </c>
      <c r="H15" s="14"/>
    </row>
    <row r="16" spans="1:8" ht="14.25" thickBot="1" x14ac:dyDescent="0.5">
      <c r="B16" s="29" t="s">
        <v>56</v>
      </c>
      <c r="C16" s="48">
        <v>3.15</v>
      </c>
      <c r="D16" s="48">
        <v>2.6</v>
      </c>
      <c r="E16" s="48">
        <v>2.16</v>
      </c>
      <c r="F16" s="31">
        <v>3.1</v>
      </c>
      <c r="H16" s="14"/>
    </row>
    <row r="17" spans="1:8" x14ac:dyDescent="0.45">
      <c r="B17" s="49"/>
      <c r="C17" s="50"/>
      <c r="D17" s="50"/>
      <c r="E17" s="50"/>
      <c r="F17" s="13"/>
      <c r="H17" s="14"/>
    </row>
    <row r="18" spans="1:8" ht="14.25" thickBot="1" x14ac:dyDescent="0.5">
      <c r="B18" s="9" t="s">
        <v>64</v>
      </c>
      <c r="C18" s="51" t="s">
        <v>78</v>
      </c>
      <c r="D18" s="51"/>
      <c r="E18" s="51"/>
      <c r="F18" s="51"/>
      <c r="G18" s="14" t="s">
        <v>59</v>
      </c>
    </row>
    <row r="19" spans="1:8" x14ac:dyDescent="0.45">
      <c r="B19" s="34" t="s">
        <v>65</v>
      </c>
      <c r="C19" s="35">
        <v>0.6</v>
      </c>
      <c r="D19" s="35">
        <v>0.4</v>
      </c>
      <c r="E19" s="35">
        <v>0.2</v>
      </c>
      <c r="F19" s="35">
        <v>1</v>
      </c>
      <c r="G19" s="36">
        <v>1100</v>
      </c>
    </row>
    <row r="20" spans="1:8" ht="14.25" thickBot="1" x14ac:dyDescent="0.5">
      <c r="B20" s="40" t="s">
        <v>66</v>
      </c>
      <c r="C20" s="52">
        <v>0.4</v>
      </c>
      <c r="D20" s="52">
        <v>0.6</v>
      </c>
      <c r="E20" s="52">
        <v>0.8</v>
      </c>
      <c r="F20" s="52">
        <v>0</v>
      </c>
      <c r="G20" s="42">
        <v>800</v>
      </c>
    </row>
    <row r="24" spans="1:8" ht="14.65" x14ac:dyDescent="0.5">
      <c r="A24" s="8" t="s">
        <v>1</v>
      </c>
      <c r="C24" s="14" t="s">
        <v>13</v>
      </c>
      <c r="D24" s="14" t="s">
        <v>14</v>
      </c>
      <c r="E24" s="14" t="s">
        <v>15</v>
      </c>
      <c r="F24" s="14" t="s">
        <v>16</v>
      </c>
    </row>
    <row r="25" spans="1:8" x14ac:dyDescent="0.45">
      <c r="B25" s="9" t="s">
        <v>52</v>
      </c>
      <c r="C25" s="9">
        <v>1000</v>
      </c>
      <c r="D25" s="9">
        <v>500</v>
      </c>
      <c r="E25" s="9">
        <v>80.000000000000114</v>
      </c>
      <c r="F25" s="9">
        <v>200</v>
      </c>
    </row>
    <row r="27" spans="1:8" ht="14.65" x14ac:dyDescent="0.5">
      <c r="A27" s="8" t="s">
        <v>2</v>
      </c>
      <c r="B27" s="9" t="s">
        <v>68</v>
      </c>
      <c r="C27" s="53">
        <f>SUMPRODUCT(C25:F25,C15:F15)-SUMPRODUCT(C25:F25,C16:F16)</f>
        <v>2913.2</v>
      </c>
    </row>
    <row r="28" spans="1:8" x14ac:dyDescent="0.45">
      <c r="C28" s="9" t="s">
        <v>76</v>
      </c>
      <c r="D28" s="9" t="s">
        <v>75</v>
      </c>
    </row>
    <row r="29" spans="1:8" ht="14.65" x14ac:dyDescent="0.5">
      <c r="A29" s="8" t="s">
        <v>0</v>
      </c>
      <c r="B29" s="9" t="s">
        <v>69</v>
      </c>
      <c r="C29" s="9">
        <f>SUMPRODUCT(C25:F25,C19:F19)</f>
        <v>1016</v>
      </c>
      <c r="D29" s="9">
        <v>1100</v>
      </c>
    </row>
    <row r="30" spans="1:8" x14ac:dyDescent="0.45">
      <c r="B30" s="9" t="s">
        <v>70</v>
      </c>
      <c r="C30" s="9">
        <f>SUMPRODUCT(C25:F25,C20:F20)</f>
        <v>764.00000000000011</v>
      </c>
      <c r="D30" s="9">
        <v>800</v>
      </c>
    </row>
    <row r="31" spans="1:8" x14ac:dyDescent="0.45">
      <c r="B31" s="9" t="s">
        <v>71</v>
      </c>
      <c r="C31" s="9">
        <f>SUMPRODUCT(C25:F25,C6:F6)</f>
        <v>1780</v>
      </c>
      <c r="D31" s="9">
        <v>3600</v>
      </c>
    </row>
    <row r="32" spans="1:8" x14ac:dyDescent="0.45">
      <c r="B32" s="9" t="s">
        <v>72</v>
      </c>
      <c r="C32" s="9">
        <f>SUMPRODUCT(C25:F25,C7:F7)</f>
        <v>3180</v>
      </c>
      <c r="D32" s="9">
        <v>3600</v>
      </c>
    </row>
    <row r="33" spans="2:4" x14ac:dyDescent="0.45">
      <c r="B33" s="9" t="s">
        <v>73</v>
      </c>
      <c r="C33" s="9">
        <f>SUMPRODUCT(C25:F25,C8:F8)</f>
        <v>1366</v>
      </c>
      <c r="D33" s="9">
        <v>3600</v>
      </c>
    </row>
    <row r="34" spans="2:4" x14ac:dyDescent="0.45">
      <c r="B34" s="9" t="s">
        <v>74</v>
      </c>
      <c r="C34" s="9">
        <f>SUMPRODUCT(C25:F25,C9:F9)</f>
        <v>3600</v>
      </c>
      <c r="D34" s="9">
        <v>3600</v>
      </c>
    </row>
  </sheetData>
  <mergeCells count="2">
    <mergeCell ref="C4:F4"/>
    <mergeCell ref="C18:F18"/>
  </mergeCells>
  <phoneticPr fontId="3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tabSelected="1" zoomScale="110" zoomScaleNormal="110" zoomScalePageLayoutView="110" workbookViewId="0">
      <selection activeCell="D19" sqref="D19"/>
    </sheetView>
  </sheetViews>
  <sheetFormatPr defaultColWidth="8.796875" defaultRowHeight="13.9" x14ac:dyDescent="0.45"/>
  <cols>
    <col min="1" max="1" width="26.6640625" style="9" customWidth="1"/>
    <col min="2" max="2" width="26.265625" style="9" customWidth="1"/>
    <col min="3" max="3" width="14.33203125" style="9" bestFit="1" customWidth="1"/>
    <col min="4" max="4" width="14.33203125" style="9" customWidth="1"/>
    <col min="5" max="5" width="11.46484375" style="9" bestFit="1" customWidth="1"/>
    <col min="6" max="6" width="5.59765625" style="9" customWidth="1"/>
    <col min="7" max="7" width="10.59765625" style="9" bestFit="1" customWidth="1"/>
    <col min="8" max="8" width="12.59765625" style="9" bestFit="1" customWidth="1"/>
    <col min="9" max="16384" width="8.796875" style="9"/>
  </cols>
  <sheetData>
    <row r="1" spans="1:8" ht="14.65" x14ac:dyDescent="0.5">
      <c r="A1" s="8" t="s">
        <v>67</v>
      </c>
      <c r="C1" s="10"/>
    </row>
    <row r="2" spans="1:8" ht="14.65" x14ac:dyDescent="0.5">
      <c r="A2" s="11" t="s">
        <v>4</v>
      </c>
      <c r="B2" s="12"/>
    </row>
    <row r="4" spans="1:8" ht="14.65" x14ac:dyDescent="0.5">
      <c r="A4" s="8" t="s">
        <v>51</v>
      </c>
      <c r="B4" s="9" t="s">
        <v>18</v>
      </c>
      <c r="C4" s="9" t="s">
        <v>19</v>
      </c>
    </row>
    <row r="5" spans="1:8" ht="14.65" x14ac:dyDescent="0.5">
      <c r="A5" s="8"/>
      <c r="B5" s="9" t="s">
        <v>20</v>
      </c>
      <c r="C5" s="9">
        <v>90</v>
      </c>
    </row>
    <row r="6" spans="1:8" ht="14.65" x14ac:dyDescent="0.5">
      <c r="A6" s="8"/>
      <c r="B6" s="9" t="s">
        <v>21</v>
      </c>
      <c r="C6" s="9">
        <v>215</v>
      </c>
    </row>
    <row r="7" spans="1:8" ht="14.65" x14ac:dyDescent="0.5">
      <c r="A7" s="8"/>
      <c r="B7" s="9" t="s">
        <v>22</v>
      </c>
      <c r="C7" s="9">
        <v>250</v>
      </c>
    </row>
    <row r="8" spans="1:8" x14ac:dyDescent="0.45">
      <c r="B8" s="9" t="s">
        <v>23</v>
      </c>
      <c r="C8" s="9">
        <v>165</v>
      </c>
    </row>
    <row r="9" spans="1:8" x14ac:dyDescent="0.45">
      <c r="B9" s="9" t="s">
        <v>24</v>
      </c>
      <c r="C9" s="9">
        <v>300</v>
      </c>
    </row>
    <row r="10" spans="1:8" x14ac:dyDescent="0.45">
      <c r="B10" s="9" t="s">
        <v>25</v>
      </c>
      <c r="C10" s="9">
        <v>125</v>
      </c>
    </row>
    <row r="11" spans="1:8" ht="14.65" x14ac:dyDescent="0.5">
      <c r="A11" s="8"/>
      <c r="B11" s="13"/>
    </row>
    <row r="12" spans="1:8" x14ac:dyDescent="0.45">
      <c r="B12" s="21" t="s">
        <v>88</v>
      </c>
      <c r="C12" s="21"/>
      <c r="D12" s="21"/>
      <c r="E12" s="21"/>
      <c r="F12" s="21"/>
      <c r="G12" s="21"/>
    </row>
    <row r="13" spans="1:8" ht="14.65" x14ac:dyDescent="0.5">
      <c r="A13" s="8" t="s">
        <v>1</v>
      </c>
      <c r="B13" s="9" t="s">
        <v>79</v>
      </c>
      <c r="C13" s="9" t="s">
        <v>21</v>
      </c>
      <c r="D13" s="9" t="s">
        <v>22</v>
      </c>
      <c r="E13" s="9" t="s">
        <v>23</v>
      </c>
      <c r="F13" s="9" t="s">
        <v>24</v>
      </c>
      <c r="G13" s="9" t="s">
        <v>25</v>
      </c>
    </row>
    <row r="14" spans="1:8" x14ac:dyDescent="0.45">
      <c r="B14" s="15">
        <v>90</v>
      </c>
      <c r="C14" s="16">
        <v>125</v>
      </c>
      <c r="D14" s="16">
        <v>125</v>
      </c>
      <c r="E14" s="16">
        <v>40</v>
      </c>
      <c r="F14" s="16">
        <v>260</v>
      </c>
      <c r="G14" s="16">
        <v>0</v>
      </c>
    </row>
    <row r="15" spans="1:8" x14ac:dyDescent="0.45">
      <c r="C15" s="17"/>
    </row>
    <row r="16" spans="1:8" ht="28.15" x14ac:dyDescent="0.5">
      <c r="A16" s="8" t="s">
        <v>2</v>
      </c>
      <c r="B16" s="20" t="s">
        <v>87</v>
      </c>
      <c r="C16" s="54">
        <f>SUM(B14:G14)</f>
        <v>640</v>
      </c>
      <c r="F16" s="18"/>
      <c r="H16" s="18"/>
    </row>
    <row r="17" spans="1:3" x14ac:dyDescent="0.45">
      <c r="B17" s="19" t="s">
        <v>85</v>
      </c>
      <c r="C17" s="17"/>
    </row>
    <row r="18" spans="1:3" ht="14.65" x14ac:dyDescent="0.5">
      <c r="A18" s="8" t="s">
        <v>0</v>
      </c>
      <c r="B18" s="17" t="s">
        <v>80</v>
      </c>
      <c r="C18" s="16">
        <f>B14+G14</f>
        <v>90</v>
      </c>
    </row>
    <row r="19" spans="1:3" x14ac:dyDescent="0.45">
      <c r="B19" s="17" t="s">
        <v>81</v>
      </c>
      <c r="C19" s="16">
        <f>B14+C14</f>
        <v>215</v>
      </c>
    </row>
    <row r="20" spans="1:3" x14ac:dyDescent="0.45">
      <c r="B20" s="17" t="s">
        <v>82</v>
      </c>
      <c r="C20" s="16">
        <f>C14+D14</f>
        <v>250</v>
      </c>
    </row>
    <row r="21" spans="1:3" x14ac:dyDescent="0.45">
      <c r="B21" s="9" t="s">
        <v>83</v>
      </c>
      <c r="C21" s="16">
        <f>D14+E14</f>
        <v>165</v>
      </c>
    </row>
    <row r="22" spans="1:3" x14ac:dyDescent="0.45">
      <c r="B22" s="9" t="s">
        <v>84</v>
      </c>
      <c r="C22" s="16">
        <f>E14+F14</f>
        <v>300</v>
      </c>
    </row>
    <row r="23" spans="1:3" x14ac:dyDescent="0.45">
      <c r="B23" s="9" t="s">
        <v>86</v>
      </c>
      <c r="C23" s="16">
        <f>F14+G14</f>
        <v>260</v>
      </c>
    </row>
  </sheetData>
  <mergeCells count="1">
    <mergeCell ref="B12:G12"/>
  </mergeCells>
  <phoneticPr fontId="6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showGridLines="0" topLeftCell="A4" zoomScale="110" zoomScaleNormal="110" zoomScalePageLayoutView="110" workbookViewId="0">
      <selection activeCell="C18" sqref="C18"/>
    </sheetView>
  </sheetViews>
  <sheetFormatPr defaultColWidth="8.796875" defaultRowHeight="13.9" x14ac:dyDescent="0.45"/>
  <cols>
    <col min="1" max="1" width="21" style="9" customWidth="1"/>
    <col min="2" max="2" width="31.46484375" style="9" customWidth="1"/>
    <col min="3" max="3" width="18.6640625" style="9" customWidth="1"/>
    <col min="4" max="4" width="14.33203125" style="9" customWidth="1"/>
    <col min="5" max="5" width="11.46484375" style="9" bestFit="1" customWidth="1"/>
    <col min="6" max="6" width="5.59765625" style="9" customWidth="1"/>
    <col min="7" max="7" width="10.59765625" style="9" bestFit="1" customWidth="1"/>
    <col min="8" max="8" width="12.59765625" style="9" bestFit="1" customWidth="1"/>
    <col min="9" max="16384" width="8.796875" style="9"/>
  </cols>
  <sheetData>
    <row r="1" spans="1:8" ht="14.65" x14ac:dyDescent="0.5">
      <c r="A1" s="8" t="s">
        <v>67</v>
      </c>
      <c r="C1" s="10"/>
    </row>
    <row r="2" spans="1:8" ht="14.65" x14ac:dyDescent="0.5">
      <c r="A2" s="11" t="s">
        <v>5</v>
      </c>
      <c r="B2" s="12"/>
    </row>
    <row r="4" spans="1:8" ht="14.65" x14ac:dyDescent="0.5">
      <c r="A4" s="8" t="s">
        <v>51</v>
      </c>
      <c r="B4" s="9" t="s">
        <v>26</v>
      </c>
      <c r="C4" s="9" t="s">
        <v>27</v>
      </c>
    </row>
    <row r="5" spans="1:8" ht="14.65" x14ac:dyDescent="0.5">
      <c r="A5" s="8"/>
      <c r="B5" s="9">
        <v>1</v>
      </c>
      <c r="C5" s="9">
        <v>90</v>
      </c>
    </row>
    <row r="6" spans="1:8" ht="14.65" x14ac:dyDescent="0.5">
      <c r="A6" s="8"/>
      <c r="B6" s="9">
        <v>2</v>
      </c>
      <c r="C6" s="9">
        <v>225</v>
      </c>
    </row>
    <row r="7" spans="1:8" ht="14.65" x14ac:dyDescent="0.5">
      <c r="A7" s="8"/>
      <c r="B7" s="9">
        <v>3</v>
      </c>
      <c r="C7" s="9">
        <v>300</v>
      </c>
    </row>
    <row r="8" spans="1:8" ht="14.65" x14ac:dyDescent="0.5">
      <c r="A8" s="8"/>
      <c r="B8" s="9">
        <v>4</v>
      </c>
      <c r="C8" s="9">
        <v>100</v>
      </c>
    </row>
    <row r="9" spans="1:8" ht="14.65" x14ac:dyDescent="0.5">
      <c r="A9" s="8"/>
      <c r="B9" s="9">
        <v>5</v>
      </c>
      <c r="C9" s="9">
        <v>75</v>
      </c>
    </row>
    <row r="10" spans="1:8" ht="14.65" x14ac:dyDescent="0.5">
      <c r="A10" s="8"/>
      <c r="B10" s="9" t="s">
        <v>95</v>
      </c>
    </row>
    <row r="11" spans="1:8" ht="14.65" x14ac:dyDescent="0.5">
      <c r="A11" s="8"/>
      <c r="B11" s="9" t="s">
        <v>96</v>
      </c>
      <c r="C11" s="9">
        <v>2.5</v>
      </c>
    </row>
    <row r="12" spans="1:8" ht="14.65" x14ac:dyDescent="0.5">
      <c r="A12" s="8"/>
      <c r="B12" s="9" t="s">
        <v>97</v>
      </c>
      <c r="C12" s="9">
        <v>1.75</v>
      </c>
    </row>
    <row r="13" spans="1:8" ht="14.65" x14ac:dyDescent="0.5">
      <c r="A13" s="8"/>
    </row>
    <row r="14" spans="1:8" x14ac:dyDescent="0.45">
      <c r="B14" s="9" t="s">
        <v>94</v>
      </c>
      <c r="C14" s="9">
        <v>1</v>
      </c>
      <c r="D14" s="9">
        <v>2</v>
      </c>
      <c r="E14" s="9">
        <v>3</v>
      </c>
      <c r="F14" s="9">
        <v>4</v>
      </c>
      <c r="G14" s="9">
        <v>5</v>
      </c>
      <c r="H14" s="9" t="s">
        <v>99</v>
      </c>
    </row>
    <row r="15" spans="1:8" ht="14.65" x14ac:dyDescent="0.5">
      <c r="A15" s="8" t="s">
        <v>1</v>
      </c>
      <c r="B15" s="9" t="s">
        <v>92</v>
      </c>
      <c r="C15" s="9">
        <v>0</v>
      </c>
      <c r="D15" s="9">
        <v>61.499999999999986</v>
      </c>
      <c r="E15" s="9">
        <v>0</v>
      </c>
      <c r="F15" s="9">
        <v>55.499999999999993</v>
      </c>
      <c r="G15" s="9">
        <v>75</v>
      </c>
      <c r="H15" s="9">
        <f>SUM(C15:G15)</f>
        <v>191.99999999999997</v>
      </c>
    </row>
    <row r="16" spans="1:8" x14ac:dyDescent="0.45">
      <c r="B16" s="9" t="s">
        <v>93</v>
      </c>
      <c r="C16" s="9">
        <v>90</v>
      </c>
      <c r="D16" s="9">
        <v>163.50000000000003</v>
      </c>
      <c r="E16" s="9">
        <v>300</v>
      </c>
      <c r="F16" s="9">
        <v>44.500000000000007</v>
      </c>
      <c r="G16" s="9">
        <v>0</v>
      </c>
      <c r="H16" s="9">
        <f>SUM(C16:G16)</f>
        <v>598</v>
      </c>
    </row>
    <row r="18" spans="1:5" ht="14.65" x14ac:dyDescent="0.5">
      <c r="A18" s="8" t="s">
        <v>2</v>
      </c>
      <c r="B18" s="9" t="s">
        <v>98</v>
      </c>
      <c r="C18" s="55">
        <f>SUM(C15:G15)*C11+SUM(C16:G16)*C12</f>
        <v>1526.5</v>
      </c>
      <c r="E18" s="18"/>
    </row>
    <row r="20" spans="1:5" ht="14.65" x14ac:dyDescent="0.5">
      <c r="A20" s="8" t="s">
        <v>0</v>
      </c>
      <c r="B20" s="9" t="s">
        <v>89</v>
      </c>
      <c r="C20" s="9" t="s">
        <v>91</v>
      </c>
      <c r="D20" s="9" t="s">
        <v>90</v>
      </c>
    </row>
    <row r="21" spans="1:5" x14ac:dyDescent="0.45">
      <c r="B21" s="9" t="s">
        <v>106</v>
      </c>
      <c r="C21" s="9">
        <f>SUMPRODUCT(C15:G15,C14:G14)</f>
        <v>720</v>
      </c>
      <c r="D21" s="9">
        <f>3.75*H15</f>
        <v>719.99999999999989</v>
      </c>
    </row>
    <row r="22" spans="1:5" x14ac:dyDescent="0.45">
      <c r="B22" s="9" t="s">
        <v>105</v>
      </c>
      <c r="C22" s="9">
        <f>SUMPRODUCT(C16:G16,C14:G14)</f>
        <v>1495</v>
      </c>
      <c r="D22" s="9">
        <f>2.5*H16</f>
        <v>1495</v>
      </c>
    </row>
    <row r="23" spans="1:5" x14ac:dyDescent="0.45">
      <c r="B23" s="9" t="s">
        <v>100</v>
      </c>
      <c r="C23" s="9">
        <f>C15+C16</f>
        <v>90</v>
      </c>
    </row>
    <row r="24" spans="1:5" x14ac:dyDescent="0.45">
      <c r="B24" s="9" t="s">
        <v>101</v>
      </c>
      <c r="C24" s="9">
        <f>D15+D16</f>
        <v>225</v>
      </c>
    </row>
    <row r="25" spans="1:5" x14ac:dyDescent="0.45">
      <c r="B25" s="9" t="s">
        <v>102</v>
      </c>
      <c r="C25" s="9">
        <f>E15+E16</f>
        <v>300</v>
      </c>
    </row>
    <row r="26" spans="1:5" x14ac:dyDescent="0.45">
      <c r="B26" s="9" t="s">
        <v>103</v>
      </c>
      <c r="C26" s="9">
        <f>F15+F16</f>
        <v>100</v>
      </c>
    </row>
    <row r="27" spans="1:5" x14ac:dyDescent="0.45">
      <c r="B27" s="9" t="s">
        <v>104</v>
      </c>
      <c r="C27" s="9">
        <f>G15+G16</f>
        <v>75</v>
      </c>
    </row>
  </sheetData>
  <phoneticPr fontId="6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="110" zoomScaleNormal="110" zoomScalePageLayoutView="110" workbookViewId="0"/>
  </sheetViews>
  <sheetFormatPr defaultColWidth="8.796875" defaultRowHeight="13.5" x14ac:dyDescent="0.3"/>
  <cols>
    <col min="1" max="1" width="21" customWidth="1"/>
    <col min="2" max="2" width="31.46484375" customWidth="1"/>
    <col min="3" max="3" width="14.33203125" bestFit="1" customWidth="1"/>
    <col min="4" max="4" width="14.33203125" customWidth="1"/>
    <col min="5" max="5" width="11.46484375" bestFit="1" customWidth="1"/>
    <col min="6" max="6" width="5.59765625" customWidth="1"/>
    <col min="7" max="7" width="10.59765625" bestFit="1" customWidth="1"/>
    <col min="8" max="8" width="12.59765625" bestFit="1" customWidth="1"/>
  </cols>
  <sheetData>
    <row r="1" spans="1:6" x14ac:dyDescent="0.3">
      <c r="A1" s="1" t="s">
        <v>67</v>
      </c>
      <c r="C1" s="5"/>
    </row>
    <row r="2" spans="1:6" x14ac:dyDescent="0.3">
      <c r="A2" s="6" t="s">
        <v>6</v>
      </c>
      <c r="B2" s="7"/>
    </row>
    <row r="4" spans="1:6" x14ac:dyDescent="0.3">
      <c r="A4" s="1" t="s">
        <v>51</v>
      </c>
    </row>
    <row r="5" spans="1:6" x14ac:dyDescent="0.3">
      <c r="A5" s="1"/>
    </row>
    <row r="6" spans="1:6" x14ac:dyDescent="0.3">
      <c r="A6" s="1"/>
    </row>
    <row r="7" spans="1:6" x14ac:dyDescent="0.3">
      <c r="A7" s="1"/>
    </row>
    <row r="11" spans="1:6" x14ac:dyDescent="0.3">
      <c r="A11" s="1"/>
    </row>
    <row r="13" spans="1:6" x14ac:dyDescent="0.3">
      <c r="A13" s="1" t="s">
        <v>1</v>
      </c>
    </row>
    <row r="16" spans="1:6" x14ac:dyDescent="0.3">
      <c r="A16" s="1" t="s">
        <v>2</v>
      </c>
      <c r="D16" s="4"/>
      <c r="F16" s="4"/>
    </row>
    <row r="18" spans="1:1" x14ac:dyDescent="0.3">
      <c r="A18" s="1" t="s">
        <v>0</v>
      </c>
    </row>
  </sheetData>
  <phoneticPr fontId="6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zoomScale="110" zoomScaleNormal="110" zoomScalePageLayoutView="110" workbookViewId="0"/>
  </sheetViews>
  <sheetFormatPr defaultColWidth="8.796875" defaultRowHeight="13.5" x14ac:dyDescent="0.3"/>
  <cols>
    <col min="1" max="1" width="21" customWidth="1"/>
    <col min="2" max="2" width="31.46484375" customWidth="1"/>
    <col min="3" max="3" width="14.33203125" bestFit="1" customWidth="1"/>
    <col min="4" max="4" width="14.33203125" customWidth="1"/>
    <col min="5" max="5" width="11.46484375" bestFit="1" customWidth="1"/>
    <col min="6" max="6" width="5.59765625" customWidth="1"/>
    <col min="7" max="7" width="10.59765625" bestFit="1" customWidth="1"/>
    <col min="8" max="8" width="12.59765625" bestFit="1" customWidth="1"/>
  </cols>
  <sheetData>
    <row r="1" spans="1:7" x14ac:dyDescent="0.3">
      <c r="A1" s="1" t="s">
        <v>67</v>
      </c>
      <c r="C1" s="5"/>
    </row>
    <row r="2" spans="1:7" x14ac:dyDescent="0.3">
      <c r="A2" s="6" t="s">
        <v>7</v>
      </c>
      <c r="B2" s="7"/>
    </row>
    <row r="4" spans="1:7" x14ac:dyDescent="0.3">
      <c r="A4" s="1" t="s">
        <v>51</v>
      </c>
      <c r="D4" t="s">
        <v>28</v>
      </c>
    </row>
    <row r="5" spans="1:7" x14ac:dyDescent="0.3">
      <c r="A5" s="1"/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">
      <c r="A6" s="1"/>
      <c r="B6" t="s">
        <v>34</v>
      </c>
      <c r="C6">
        <v>20</v>
      </c>
      <c r="D6">
        <v>15</v>
      </c>
      <c r="E6">
        <v>10</v>
      </c>
      <c r="F6">
        <v>8</v>
      </c>
      <c r="G6">
        <v>5</v>
      </c>
    </row>
    <row r="7" spans="1:7" x14ac:dyDescent="0.3">
      <c r="A7" s="1"/>
      <c r="B7" t="s">
        <v>35</v>
      </c>
      <c r="C7">
        <v>28</v>
      </c>
      <c r="D7">
        <v>24</v>
      </c>
      <c r="E7">
        <v>18</v>
      </c>
      <c r="F7">
        <v>12</v>
      </c>
      <c r="G7">
        <v>16</v>
      </c>
    </row>
    <row r="8" spans="1:7" x14ac:dyDescent="0.3">
      <c r="B8" t="s">
        <v>36</v>
      </c>
      <c r="C8">
        <v>8</v>
      </c>
      <c r="D8">
        <v>8</v>
      </c>
      <c r="E8">
        <v>4</v>
      </c>
      <c r="F8">
        <v>4</v>
      </c>
      <c r="G8">
        <v>6</v>
      </c>
    </row>
    <row r="9" spans="1:7" x14ac:dyDescent="0.3">
      <c r="B9" t="s">
        <v>37</v>
      </c>
      <c r="C9">
        <v>0.75</v>
      </c>
      <c r="D9">
        <v>0.6</v>
      </c>
      <c r="E9">
        <v>0.5</v>
      </c>
      <c r="F9">
        <v>0.65</v>
      </c>
      <c r="G9">
        <v>1</v>
      </c>
    </row>
    <row r="11" spans="1:7" x14ac:dyDescent="0.3">
      <c r="A11" s="1"/>
    </row>
    <row r="12" spans="1:7" x14ac:dyDescent="0.3">
      <c r="D12" t="s">
        <v>38</v>
      </c>
    </row>
    <row r="13" spans="1:7" x14ac:dyDescent="0.3">
      <c r="C13" t="s">
        <v>29</v>
      </c>
      <c r="D13" t="s">
        <v>30</v>
      </c>
      <c r="E13" t="s">
        <v>31</v>
      </c>
      <c r="F13" t="s">
        <v>32</v>
      </c>
      <c r="G13" t="s">
        <v>33</v>
      </c>
    </row>
    <row r="14" spans="1:7" x14ac:dyDescent="0.3">
      <c r="B14" t="s">
        <v>39</v>
      </c>
      <c r="C14">
        <v>189</v>
      </c>
      <c r="D14">
        <v>149</v>
      </c>
      <c r="E14">
        <v>129</v>
      </c>
      <c r="F14">
        <v>169</v>
      </c>
      <c r="G14">
        <v>139</v>
      </c>
    </row>
    <row r="15" spans="1:7" x14ac:dyDescent="0.3">
      <c r="B15" t="s">
        <v>40</v>
      </c>
      <c r="C15">
        <v>136</v>
      </c>
      <c r="D15">
        <v>101</v>
      </c>
      <c r="E15">
        <v>96</v>
      </c>
      <c r="F15">
        <v>137</v>
      </c>
      <c r="G15">
        <v>101</v>
      </c>
    </row>
    <row r="16" spans="1:7" x14ac:dyDescent="0.3">
      <c r="D16" s="4"/>
      <c r="F16" s="4"/>
    </row>
    <row r="17" spans="1:1" x14ac:dyDescent="0.3">
      <c r="A17" s="1" t="s">
        <v>1</v>
      </c>
    </row>
    <row r="20" spans="1:1" x14ac:dyDescent="0.3">
      <c r="A20" s="1" t="s">
        <v>2</v>
      </c>
    </row>
    <row r="22" spans="1:1" x14ac:dyDescent="0.3">
      <c r="A22" s="1" t="s">
        <v>0</v>
      </c>
    </row>
  </sheetData>
  <phoneticPr fontId="6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showGridLines="0" zoomScale="110" zoomScaleNormal="110" zoomScalePageLayoutView="110" workbookViewId="0"/>
  </sheetViews>
  <sheetFormatPr defaultColWidth="8.796875" defaultRowHeight="13.5" x14ac:dyDescent="0.3"/>
  <cols>
    <col min="1" max="1" width="21" customWidth="1"/>
    <col min="2" max="2" width="31.46484375" customWidth="1"/>
    <col min="3" max="3" width="14.33203125" bestFit="1" customWidth="1"/>
    <col min="4" max="4" width="14.33203125" customWidth="1"/>
    <col min="5" max="5" width="11.46484375" bestFit="1" customWidth="1"/>
    <col min="6" max="6" width="5.59765625" customWidth="1"/>
    <col min="7" max="7" width="10.59765625" bestFit="1" customWidth="1"/>
    <col min="8" max="8" width="12.59765625" bestFit="1" customWidth="1"/>
  </cols>
  <sheetData>
    <row r="1" spans="1:7" x14ac:dyDescent="0.3">
      <c r="A1" s="1" t="s">
        <v>67</v>
      </c>
      <c r="C1" s="5"/>
    </row>
    <row r="2" spans="1:7" x14ac:dyDescent="0.3">
      <c r="A2" s="6" t="s">
        <v>8</v>
      </c>
      <c r="B2" s="7"/>
    </row>
    <row r="4" spans="1:7" x14ac:dyDescent="0.3">
      <c r="A4" s="1" t="s">
        <v>51</v>
      </c>
      <c r="B4" t="s">
        <v>41</v>
      </c>
      <c r="C4" t="s">
        <v>42</v>
      </c>
      <c r="D4" t="s">
        <v>43</v>
      </c>
      <c r="E4" t="s">
        <v>44</v>
      </c>
    </row>
    <row r="5" spans="1:7" x14ac:dyDescent="0.3">
      <c r="A5" s="1"/>
      <c r="B5">
        <v>1</v>
      </c>
      <c r="C5">
        <v>17.25</v>
      </c>
      <c r="D5">
        <v>100</v>
      </c>
      <c r="E5">
        <v>150</v>
      </c>
    </row>
    <row r="6" spans="1:7" x14ac:dyDescent="0.3">
      <c r="A6" s="1"/>
      <c r="B6">
        <v>2</v>
      </c>
      <c r="C6">
        <v>15.75</v>
      </c>
      <c r="D6">
        <v>87</v>
      </c>
      <c r="E6">
        <v>350</v>
      </c>
    </row>
    <row r="7" spans="1:7" x14ac:dyDescent="0.3">
      <c r="A7" s="1"/>
      <c r="B7">
        <v>3</v>
      </c>
      <c r="C7">
        <v>17.75</v>
      </c>
      <c r="D7">
        <v>110</v>
      </c>
      <c r="E7">
        <v>300</v>
      </c>
    </row>
    <row r="11" spans="1:7" x14ac:dyDescent="0.3">
      <c r="A11" s="1"/>
    </row>
    <row r="13" spans="1:7" x14ac:dyDescent="0.3">
      <c r="A13" s="1" t="s">
        <v>1</v>
      </c>
      <c r="B13" s="2"/>
    </row>
    <row r="14" spans="1:7" x14ac:dyDescent="0.3">
      <c r="B14" s="2"/>
    </row>
    <row r="15" spans="1:7" x14ac:dyDescent="0.3">
      <c r="B15" s="2"/>
    </row>
    <row r="16" spans="1:7" x14ac:dyDescent="0.3">
      <c r="A16" s="1" t="s">
        <v>2</v>
      </c>
      <c r="B16" s="2"/>
      <c r="E16" s="4"/>
      <c r="G16" s="4"/>
    </row>
    <row r="17" spans="1:2" x14ac:dyDescent="0.3">
      <c r="B17" s="2"/>
    </row>
    <row r="18" spans="1:2" x14ac:dyDescent="0.3">
      <c r="A18" s="1" t="s">
        <v>0</v>
      </c>
    </row>
  </sheetData>
  <phoneticPr fontId="6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showGridLines="0" zoomScale="110" zoomScaleNormal="110" zoomScalePageLayoutView="110" workbookViewId="0"/>
  </sheetViews>
  <sheetFormatPr defaultColWidth="8.796875" defaultRowHeight="13.5" x14ac:dyDescent="0.3"/>
  <cols>
    <col min="1" max="1" width="21" customWidth="1"/>
    <col min="2" max="2" width="31.46484375" customWidth="1"/>
    <col min="3" max="3" width="14.33203125" bestFit="1" customWidth="1"/>
    <col min="4" max="4" width="14.33203125" customWidth="1"/>
    <col min="5" max="5" width="11.46484375" bestFit="1" customWidth="1"/>
    <col min="6" max="6" width="5.59765625" customWidth="1"/>
    <col min="7" max="7" width="10.59765625" bestFit="1" customWidth="1"/>
    <col min="8" max="8" width="12.59765625" bestFit="1" customWidth="1"/>
  </cols>
  <sheetData>
    <row r="1" spans="1:6" x14ac:dyDescent="0.3">
      <c r="A1" s="1" t="s">
        <v>67</v>
      </c>
      <c r="C1" s="5"/>
    </row>
    <row r="2" spans="1:6" x14ac:dyDescent="0.3">
      <c r="A2" s="6" t="s">
        <v>9</v>
      </c>
      <c r="B2" s="7"/>
    </row>
    <row r="4" spans="1:6" x14ac:dyDescent="0.3">
      <c r="A4" s="1" t="s">
        <v>51</v>
      </c>
      <c r="C4" t="s">
        <v>45</v>
      </c>
    </row>
    <row r="5" spans="1:6" x14ac:dyDescent="0.3">
      <c r="A5" s="1"/>
      <c r="C5" t="s">
        <v>46</v>
      </c>
      <c r="D5" t="s">
        <v>47</v>
      </c>
      <c r="E5" t="s">
        <v>48</v>
      </c>
    </row>
    <row r="6" spans="1:6" x14ac:dyDescent="0.3">
      <c r="A6" s="1"/>
      <c r="B6" t="s">
        <v>49</v>
      </c>
      <c r="C6">
        <v>0.2</v>
      </c>
      <c r="D6">
        <v>0.4</v>
      </c>
      <c r="E6">
        <v>10000</v>
      </c>
    </row>
    <row r="7" spans="1:6" x14ac:dyDescent="0.3">
      <c r="A7" s="1"/>
      <c r="B7" t="s">
        <v>50</v>
      </c>
      <c r="C7">
        <v>0.3</v>
      </c>
      <c r="D7">
        <v>0.5</v>
      </c>
      <c r="E7">
        <v>15000</v>
      </c>
    </row>
    <row r="8" spans="1:6" x14ac:dyDescent="0.3">
      <c r="B8" t="s">
        <v>17</v>
      </c>
      <c r="C8">
        <v>0.1</v>
      </c>
      <c r="D8">
        <v>0.1</v>
      </c>
      <c r="E8">
        <v>5000</v>
      </c>
    </row>
    <row r="11" spans="1:6" x14ac:dyDescent="0.3">
      <c r="A11" s="1"/>
    </row>
    <row r="13" spans="1:6" x14ac:dyDescent="0.3">
      <c r="A13" s="1" t="s">
        <v>1</v>
      </c>
    </row>
    <row r="16" spans="1:6" x14ac:dyDescent="0.3">
      <c r="A16" s="1" t="s">
        <v>2</v>
      </c>
      <c r="D16" s="4"/>
      <c r="F16" s="4"/>
    </row>
    <row r="18" spans="1:1" x14ac:dyDescent="0.3">
      <c r="A18" s="1" t="s">
        <v>0</v>
      </c>
    </row>
  </sheetData>
  <phoneticPr fontId="6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showGridLines="0" topLeftCell="A7" zoomScale="110" zoomScaleNormal="110" zoomScalePageLayoutView="110" workbookViewId="0"/>
  </sheetViews>
  <sheetFormatPr defaultColWidth="8.796875" defaultRowHeight="13.5" x14ac:dyDescent="0.3"/>
  <cols>
    <col min="1" max="1" width="21" customWidth="1"/>
    <col min="2" max="2" width="31.46484375" customWidth="1"/>
    <col min="3" max="3" width="14.33203125" bestFit="1" customWidth="1"/>
    <col min="4" max="4" width="14.33203125" customWidth="1"/>
    <col min="5" max="5" width="11.46484375" bestFit="1" customWidth="1"/>
    <col min="6" max="6" width="5.59765625" customWidth="1"/>
    <col min="7" max="7" width="10.59765625" bestFit="1" customWidth="1"/>
    <col min="8" max="8" width="12.59765625" bestFit="1" customWidth="1"/>
  </cols>
  <sheetData>
    <row r="1" spans="1:6" x14ac:dyDescent="0.3">
      <c r="A1" s="1" t="s">
        <v>67</v>
      </c>
      <c r="C1" s="5"/>
    </row>
    <row r="2" spans="1:6" x14ac:dyDescent="0.3">
      <c r="A2" s="6" t="s">
        <v>10</v>
      </c>
      <c r="B2" s="7"/>
    </row>
    <row r="4" spans="1:6" x14ac:dyDescent="0.3">
      <c r="A4" s="1" t="s">
        <v>51</v>
      </c>
      <c r="C4" s="3"/>
    </row>
    <row r="5" spans="1:6" x14ac:dyDescent="0.3">
      <c r="A5" s="1"/>
    </row>
    <row r="6" spans="1:6" x14ac:dyDescent="0.3">
      <c r="A6" s="1"/>
    </row>
    <row r="7" spans="1:6" x14ac:dyDescent="0.3">
      <c r="A7" s="1"/>
    </row>
    <row r="11" spans="1:6" x14ac:dyDescent="0.3">
      <c r="A11" s="1"/>
    </row>
    <row r="13" spans="1:6" x14ac:dyDescent="0.3">
      <c r="A13" s="1" t="s">
        <v>1</v>
      </c>
    </row>
    <row r="16" spans="1:6" x14ac:dyDescent="0.3">
      <c r="A16" s="1" t="s">
        <v>2</v>
      </c>
      <c r="D16" s="4"/>
      <c r="F16" s="4"/>
    </row>
    <row r="18" spans="1:1" x14ac:dyDescent="0.3">
      <c r="A18" s="1" t="s">
        <v>0</v>
      </c>
    </row>
  </sheetData>
  <phoneticPr fontId="6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"/>
  <sheetViews>
    <sheetView showGridLines="0" zoomScale="110" zoomScaleNormal="110" zoomScalePageLayoutView="110" workbookViewId="0">
      <selection activeCell="B13" sqref="B13"/>
    </sheetView>
  </sheetViews>
  <sheetFormatPr defaultColWidth="8.796875" defaultRowHeight="13.5" x14ac:dyDescent="0.3"/>
  <cols>
    <col min="1" max="1" width="21" customWidth="1"/>
    <col min="2" max="2" width="31.46484375" customWidth="1"/>
    <col min="3" max="3" width="14.33203125" bestFit="1" customWidth="1"/>
    <col min="4" max="4" width="14.33203125" customWidth="1"/>
    <col min="5" max="5" width="11.46484375" bestFit="1" customWidth="1"/>
    <col min="6" max="6" width="5.59765625" customWidth="1"/>
    <col min="7" max="7" width="10.59765625" bestFit="1" customWidth="1"/>
    <col min="8" max="8" width="12.59765625" bestFit="1" customWidth="1"/>
  </cols>
  <sheetData>
    <row r="1" spans="1:7" x14ac:dyDescent="0.3">
      <c r="A1" s="1" t="s">
        <v>67</v>
      </c>
      <c r="C1" s="5"/>
    </row>
    <row r="2" spans="1:7" x14ac:dyDescent="0.3">
      <c r="A2" s="6" t="s">
        <v>11</v>
      </c>
      <c r="B2" s="7"/>
    </row>
    <row r="4" spans="1:7" x14ac:dyDescent="0.3">
      <c r="A4" s="1" t="s">
        <v>51</v>
      </c>
    </row>
    <row r="5" spans="1:7" x14ac:dyDescent="0.3">
      <c r="A5" s="1"/>
    </row>
    <row r="6" spans="1:7" x14ac:dyDescent="0.3">
      <c r="A6" s="1"/>
    </row>
    <row r="7" spans="1:7" x14ac:dyDescent="0.3">
      <c r="A7" s="1"/>
    </row>
    <row r="11" spans="1:7" x14ac:dyDescent="0.3">
      <c r="A11" s="1"/>
    </row>
    <row r="13" spans="1:7" x14ac:dyDescent="0.3">
      <c r="A13" s="1" t="s">
        <v>1</v>
      </c>
      <c r="B13" s="2"/>
    </row>
    <row r="14" spans="1:7" x14ac:dyDescent="0.3">
      <c r="B14" s="2"/>
    </row>
    <row r="15" spans="1:7" x14ac:dyDescent="0.3">
      <c r="B15" s="2"/>
    </row>
    <row r="16" spans="1:7" x14ac:dyDescent="0.3">
      <c r="A16" s="1" t="s">
        <v>2</v>
      </c>
      <c r="B16" s="2"/>
      <c r="E16" s="4"/>
      <c r="G16" s="4"/>
    </row>
    <row r="17" spans="1:2" x14ac:dyDescent="0.3">
      <c r="B17" s="2"/>
    </row>
    <row r="18" spans="1:2" x14ac:dyDescent="0.3">
      <c r="A18" s="1" t="s">
        <v>0</v>
      </c>
    </row>
  </sheetData>
  <phoneticPr fontId="6" type="noConversion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showGridLines="0" zoomScale="110" zoomScaleNormal="110" zoomScalePageLayoutView="110" workbookViewId="0">
      <selection activeCell="D4" sqref="D4"/>
    </sheetView>
  </sheetViews>
  <sheetFormatPr defaultColWidth="8.796875" defaultRowHeight="13.5" x14ac:dyDescent="0.3"/>
  <cols>
    <col min="1" max="1" width="21" customWidth="1"/>
    <col min="2" max="2" width="31.46484375" customWidth="1"/>
    <col min="3" max="3" width="14.33203125" bestFit="1" customWidth="1"/>
    <col min="4" max="4" width="14.33203125" customWidth="1"/>
    <col min="5" max="5" width="11.46484375" bestFit="1" customWidth="1"/>
    <col min="6" max="6" width="5.59765625" customWidth="1"/>
    <col min="7" max="7" width="10.59765625" bestFit="1" customWidth="1"/>
    <col min="8" max="8" width="12.59765625" bestFit="1" customWidth="1"/>
  </cols>
  <sheetData>
    <row r="1" spans="1:7" x14ac:dyDescent="0.3">
      <c r="A1" s="1" t="s">
        <v>67</v>
      </c>
      <c r="C1" s="5"/>
    </row>
    <row r="2" spans="1:7" x14ac:dyDescent="0.3">
      <c r="A2" s="6" t="s">
        <v>12</v>
      </c>
      <c r="B2" s="7"/>
    </row>
    <row r="4" spans="1:7" x14ac:dyDescent="0.3">
      <c r="A4" s="1" t="s">
        <v>51</v>
      </c>
    </row>
    <row r="5" spans="1:7" x14ac:dyDescent="0.3">
      <c r="A5" s="1"/>
    </row>
    <row r="6" spans="1:7" x14ac:dyDescent="0.3">
      <c r="A6" s="1"/>
    </row>
    <row r="7" spans="1:7" x14ac:dyDescent="0.3">
      <c r="A7" s="1"/>
    </row>
    <row r="11" spans="1:7" x14ac:dyDescent="0.3">
      <c r="A11" s="1"/>
    </row>
    <row r="15" spans="1:7" x14ac:dyDescent="0.3">
      <c r="B15" s="2"/>
    </row>
    <row r="16" spans="1:7" x14ac:dyDescent="0.3">
      <c r="A16" s="1" t="s">
        <v>1</v>
      </c>
      <c r="B16" s="2"/>
      <c r="E16" s="4"/>
      <c r="G16" s="4"/>
    </row>
    <row r="17" spans="1:2" x14ac:dyDescent="0.3">
      <c r="B17" s="2"/>
    </row>
    <row r="19" spans="1:2" x14ac:dyDescent="0.3">
      <c r="A19" s="1" t="s">
        <v>2</v>
      </c>
    </row>
    <row r="21" spans="1:2" x14ac:dyDescent="0.3">
      <c r="A21" s="1" t="s">
        <v>0</v>
      </c>
    </row>
  </sheetData>
  <phoneticPr fontId="6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Problem 1</vt:lpstr>
      <vt:lpstr>Problem 2</vt:lpstr>
      <vt:lpstr>Problem 3</vt:lpstr>
      <vt:lpstr>Problem 4</vt:lpstr>
      <vt:lpstr>Problem 5</vt:lpstr>
      <vt:lpstr>Problem 6</vt:lpstr>
      <vt:lpstr>Problem 7</vt:lpstr>
      <vt:lpstr>Problem 8</vt:lpstr>
      <vt:lpstr>Problem 9</vt:lpstr>
      <vt:lpstr>Problem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Yuchen Wu</cp:lastModifiedBy>
  <dcterms:created xsi:type="dcterms:W3CDTF">2012-02-02T04:16:33Z</dcterms:created>
  <dcterms:modified xsi:type="dcterms:W3CDTF">2025-10-23T20:55:34Z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5CB2D24B-0C83-4528-A604-243F5BD1944B</vt:lpwstr>
  </property>
</Properties>
</file>